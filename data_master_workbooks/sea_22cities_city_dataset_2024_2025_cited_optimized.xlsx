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2860" activeTab="4"/>
  </bookViews>
  <sheets>
    <sheet name="0320" sheetId="8" r:id="rId1"/>
    <sheet name="data" sheetId="5" r:id="rId2"/>
    <sheet name="Summary_Wide" sheetId="1" r:id="rId3"/>
    <sheet name="Data_Long" sheetId="2" r:id="rId4"/>
    <sheet name="Source_Index" sheetId="3" r:id="rId5"/>
    <sheet name="Sheet3" sheetId="7" r:id="rId6"/>
  </sheet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D1" authorId="0">
      <text>
        <r>
          <rPr>
            <sz val="10"/>
            <rFont val="宋体"/>
            <charset val="134"/>
          </rPr>
          <t>Population density is formula-derived in this workbook as Population / administrative area.</t>
        </r>
      </text>
    </comment>
    <comment ref="C2" authorId="0">
      <text>
        <r>
          <rPr>
            <sz val="10"/>
            <rFont val="宋体"/>
            <charset val="134"/>
          </rPr>
          <t>Source: Bandung metropolitan area (Wikipedia search snippet citing official BPS mid-2024 estimate)
Year: 2024
Tier: Secondary
URL: https://en.wikipedia.org/wiki/Bandung_metropolitan_area
Note: Mid-2024 estimate; secondary source cites official BPS estimate.</t>
        </r>
      </text>
    </comment>
    <comment ref="D2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Bandung metropolitan area (Wikipedia search snippet citing official BPS mid-2024 estimate)
  https://en.wikipedia.org/wiki/Bandung_metropolitan_area
- Area by Subdistrict in the City of Bandung (Km2), 2024 - BPS Bandung Municipality
  https://bandungkota.bps.go.id/en/statistics-table/2/MzQjMg%3D%3D/area-by-subdistrict-in-th-city-of-bandung.html</t>
        </r>
      </text>
    </comment>
    <comment ref="C3" authorId="0">
      <text>
        <r>
          <rPr>
            <sz val="10"/>
            <rFont val="宋体"/>
            <charset val="134"/>
          </rPr>
          <t>Source: Jakarta population recorded at 11.01 million - Berita Jakarta
Year: 2025
Tier: Primary
URL: https://m.beritajakarta.id/en/read/61194/jakarta-population-recorded-at-1101-million
Note: First semester 2025 population reported by Jakarta official media.</t>
        </r>
      </text>
    </comment>
    <comment ref="D3" authorId="0">
      <text>
        <r>
          <rPr>
            <sz val="10"/>
            <rFont val="宋体"/>
            <charset val="134"/>
          </rPr>
          <t>Derived metric.
Formula: Population / administrative area
Underlying years: 2025–2025
Sources:
- Jakarta population recorded at 11.01 million - Berita Jakarta
  https://m.beritajakarta.id/en/read/61194/jakarta-population-recorded-at-1101-million
- Tentang Jakarta - Pemerintah Provinsi DKI Jakarta
  https://www.jakarta.go.id/tentang-jakarta</t>
        </r>
      </text>
    </comment>
    <comment ref="C4" authorId="0">
      <text>
        <r>
          <rPr>
            <sz val="10"/>
            <rFont val="宋体"/>
            <charset val="134"/>
          </rPr>
          <t>Source: Medan (Wikipedia search snippet citing BPS Kota Medan Dalam Angka 2025)
Year: 2024
Tier: Secondary
URL: https://en.wikipedia.org/wiki/Medan
Note: Official mid-2024 estimate cited in secondary source.</t>
        </r>
      </text>
    </comment>
    <comment ref="D4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Medan (Wikipedia search snippet citing BPS Kota Medan Dalam Angka 2025)
  https://en.wikipedia.org/wiki/Medan
- Medan (Wikipedia search snippet citing BPS Kota Medan Dalam Angka 2025)
  https://en.wikipedia.org/wiki/Medan</t>
        </r>
      </text>
    </comment>
    <comment ref="C5" authorId="0">
      <text>
        <r>
          <rPr>
            <sz val="10"/>
            <rFont val="宋体"/>
            <charset val="134"/>
          </rPr>
          <t>Source: Palembang (Wikipedia search snippet citing official mid-2024 estimate)
Year: 2024
Tier: Secondary
URL: https://en.wikipedia.org/wiki/Palembang
Note: Official mid-2024 estimate cited in secondary source.</t>
        </r>
      </text>
    </comment>
    <comment ref="D5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Palembang (Wikipedia search snippet citing official mid-2024 estimate)
  https://en.wikipedia.org/wiki/Palembang
- Total Area by Regency/Municipality (Km2), 2024 - BPS Sumatera Selatan
  https://sumsel.bps.go.id/en/statistics-table/2/MjAxIzI%3D/luas-wilayah</t>
        </r>
      </text>
    </comment>
    <comment ref="C6" authorId="0">
      <text>
        <r>
          <rPr>
            <sz val="10"/>
            <rFont val="宋体"/>
            <charset val="134"/>
          </rPr>
          <t>Source: Surabaya (Wikipedia search snippet citing official mid-2024 estimate)
Year: 2024
Tier: Secondary
URL: https://en.wikipedia.org/wiki/Surabaya
Note: Official mid-2024 estimate cited in secondary source.</t>
        </r>
      </text>
    </comment>
    <comment ref="D6" authorId="0">
      <text>
        <r>
          <rPr>
            <sz val="10"/>
            <rFont val="宋体"/>
            <charset val="134"/>
          </rPr>
          <t>Derived metric.
Formula: Population / administrative area
Underlying years: 2024–2025
Sources:
- Surabaya (Wikipedia search snippet citing official mid-2024 estimate)
  https://en.wikipedia.org/wiki/Surabaya
- Luas Daerah Menurut Kabupaten/Kota di Provinsi Jawa Timur, 2025 - BPS Jawa Timur
  https://jatim.bps.go.id/en/statistics-table/3/VUZwV01tSlpPVlpsWlRKbmMxcFhhSGhEVjFoUFFUMDkjMw%3D%3D/luas-daerah-dan-jumlah-pulau-menurut-kabupaten-kota-di-provinsi-jawa-timur--2024.html</t>
        </r>
      </text>
    </comment>
    <comment ref="C7" authorId="0">
      <text>
        <r>
          <rPr>
            <sz val="10"/>
            <rFont val="宋体"/>
            <charset val="134"/>
          </rPr>
          <t>Source: George Town, Penang (Wikipedia; 2020 population and area)
Year: 2020
Tier: Secondary
URL: https://en.wikipedia.org/wiki/George_Town,_Penang
Note: 2020 city proper population.</t>
        </r>
      </text>
    </comment>
    <comment ref="D7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George Town, Penang (Wikipedia; 2020 population and area)
  https://en.wikipedia.org/wiki/George_Town,_Penang
- George Town, Penang (Wikipedia; 2020 population and area)
  https://en.wikipedia.org/wiki/George_Town,_Penang</t>
        </r>
      </text>
    </comment>
    <comment ref="C8" authorId="0">
      <text>
        <r>
          <rPr>
            <sz val="10"/>
            <rFont val="宋体"/>
            <charset val="134"/>
          </rPr>
          <t>Source: Ipoh (Wikipedia; 2020 population and area)
Year: 2020
Tier: Secondary
URL: https://en.wikipedia.org/wiki/Ipoh
Note: 2020 city population.</t>
        </r>
      </text>
    </comment>
    <comment ref="D8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Ipoh (Wikipedia; 2020 population and area)
  https://en.wikipedia.org/wiki/Ipoh
- Ipoh (Wikipedia; 2020 population and area)
  https://en.wikipedia.org/wiki/Ipoh</t>
        </r>
      </text>
    </comment>
    <comment ref="C9" authorId="0">
      <text>
        <r>
          <rPr>
            <sz val="10"/>
            <rFont val="宋体"/>
            <charset val="134"/>
          </rPr>
          <t>Source: Johor Bahru (Wikipedia; 2020 population and area)
Year: 2020
Tier: Secondary
URL: https://en.wikipedia.org/wiki/Johor_Bahru
Note: 2020 city proper population.</t>
        </r>
      </text>
    </comment>
    <comment ref="D9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Johor Bahru (Wikipedia; 2020 population and area)
  https://en.wikipedia.org/wiki/Johor_Bahru
- Johor Bahru (Wikipedia; 2020 population and area)
  https://en.wikipedia.org/wiki/Johor_Bahru</t>
        </r>
      </text>
    </comment>
    <comment ref="C10" authorId="0">
      <text>
        <r>
          <rPr>
            <sz val="10"/>
            <rFont val="宋体"/>
            <charset val="134"/>
          </rPr>
          <t>Source: Key Findings Population and Housing Census of Malaysia 2020: Administrative District - DOSM
Year: 2020
Tier: Primary
URL: https://www.dosm.gov.my/portal-main/release-content/key-findings-population-and-housing-census-of-malaysia-2020-administrative-district
Note: Kajang Municipal Council / local authority population from DOSM census release.</t>
        </r>
      </text>
    </comment>
    <comment ref="D10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Key Findings Population and Housing Census of Malaysia 2020: Administrative District - DOSM
  https://www.dosm.gov.my/portal-main/release-content/key-findings-population-and-housing-census-of-malaysia-2020-administrative-district
- Kajang (Wikipedia; local authority area)
  https://en.wikipedia.org/wiki/Kajang</t>
        </r>
      </text>
    </comment>
    <comment ref="C11" authorId="0">
      <text>
        <r>
          <rPr>
            <sz val="10"/>
            <rFont val="宋体"/>
            <charset val="134"/>
          </rPr>
          <t>Source: Kota Bharu (Wikipedia / city summary)
Year: 2022
Tier: Secondary
URL: https://en.wikipedia.org/wiki/Kota_Bharu
Note: Secondary source; city/municipality figure.</t>
        </r>
      </text>
    </comment>
    <comment ref="D11" authorId="0">
      <text>
        <r>
          <rPr>
            <sz val="10"/>
            <rFont val="宋体"/>
            <charset val="134"/>
          </rPr>
          <t>Derived metric.
Formula: Population / administrative area
Underlying years: 2022–2022
Sources:
- Kota Bharu (Wikipedia / city summary)
  https://en.wikipedia.org/wiki/Kota_Bharu
- Kota Bharu (Wikipedia / city summary)
  https://en.wikipedia.org/wiki/Kota_Bharu</t>
        </r>
      </text>
    </comment>
    <comment ref="C12" authorId="0">
      <text>
        <r>
          <rPr>
            <sz val="10"/>
            <rFont val="宋体"/>
            <charset val="134"/>
          </rPr>
          <t>Source: W.P. Kuala Lumpur - The Population of Malaysia - OpenDOSM
Year: 2024
Tier: Primary
URL: https://open.dosm.gov.my/dashboard/population/kul
Note: OpenDOSM dashboard reports total population (2024) ~2.1 million.</t>
        </r>
      </text>
    </comment>
    <comment ref="D12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W.P. Kuala Lumpur - The Population of Malaysia - OpenDOSM
  https://open.dosm.gov.my/dashboard/population/kul
- Kuala Lumpur (Wikipedia; area 243 km²)
  https://en.wikipedia.org/wiki/Kuala_Lumpur</t>
        </r>
      </text>
    </comment>
    <comment ref="C13" authorId="0">
      <text>
        <r>
          <rPr>
            <sz val="10"/>
            <rFont val="宋体"/>
            <charset val="134"/>
          </rPr>
          <t>Source: Key Findings Population and Housing Census of Malaysia 2020: Administrative District - DOSM
Year: 2020
Tier: Primary
URL: https://www.dosm.gov.my/portal-main/release-content/key-findings-population-and-housing-census-of-malaysia-2020-administrative-district
Note: Seberang Perai City Council / local authority population from DOSM census release.</t>
        </r>
      </text>
    </comment>
    <comment ref="D13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Key Findings Population and Housing Census of Malaysia 2020: Administrative District - DOSM
  https://www.dosm.gov.my/portal-main/release-content/key-findings-population-and-housing-census-of-malaysia-2020-administrative-district
- Seberang Perai (Wikipedia; local authority area)
  https://en.wikipedia.org/wiki/Seberang_Perai</t>
        </r>
      </text>
    </comment>
    <comment ref="C14" authorId="0">
      <text>
        <r>
          <rPr>
            <sz val="10"/>
            <rFont val="宋体"/>
            <charset val="134"/>
          </rPr>
          <t>Source: Davao City (Wikipedia; 2024 census population and area)
Year: 2024
Tier: Secondary
URL: https://en.wikipedia.org/wiki/Davao_City
Note: 2024 census population in secondary source.</t>
        </r>
      </text>
    </comment>
    <comment ref="D14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Davao City (Wikipedia; 2024 census population and area)
  https://en.wikipedia.org/wiki/Davao_City
- Davao City (Wikipedia; 2024 census population and area)
  https://en.wikipedia.org/wiki/Davao_City</t>
        </r>
      </text>
    </comment>
    <comment ref="C16" authorId="0">
      <text>
        <r>
          <rPr>
            <sz val="10"/>
            <rFont val="宋体"/>
            <charset val="134"/>
          </rPr>
          <t>Source: Population in Brief 2025 - National Population and Talent Division
Year: 2025
Tier: Primary
URL: https://www.population.gov.sg/files/media-centre/publications/Population_in_Brief_2025.pdf
Note: Total population as at June 2025.</t>
        </r>
      </text>
    </comment>
    <comment ref="D16" authorId="0">
      <text>
        <r>
          <rPr>
            <sz val="10"/>
            <rFont val="宋体"/>
            <charset val="134"/>
          </rPr>
          <t>Derived metric.
Formula: Population / administrative area
Underlying years: 2025–2025
Sources:
- Population in Brief 2025 - National Population and Talent Division
  https://www.population.gov.sg/files/media-centre/publications/Population_in_Brief_2025.pdf
- Singapore Environment Statistics - SingStat
  https://www.singstat.gov.sg/publications/reference/ebook/society/environment</t>
        </r>
      </text>
    </comment>
    <comment ref="C17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17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C18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18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C19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19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C20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20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C21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21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C22" authorId="0">
      <text>
        <r>
          <rPr>
            <sz val="10"/>
            <rFont val="宋体"/>
            <charset val="134"/>
          </rPr>
          <t>Source: Hanoi (Wikipedia; 2025 population and area)
Year: 2025
Tier: Secondary
URL: https://en.wikipedia.org/wiki/Hanoi
Note: 2025 population in secondary source.</t>
        </r>
      </text>
    </comment>
    <comment ref="D22" authorId="0">
      <text>
        <r>
          <rPr>
            <sz val="10"/>
            <rFont val="宋体"/>
            <charset val="134"/>
          </rPr>
          <t>Derived metric.
Formula: Population / administrative area
Underlying years: 2025–2025
Sources:
- Hanoi (Wikipedia; 2025 population and area)
  https://en.wikipedia.org/wiki/Hanoi
- Hanoi (Wikipedia; 2025 population and area)
  https://en.wikipedia.org/wiki/Hanoi</t>
        </r>
      </text>
    </comment>
    <comment ref="C23" authorId="0">
      <text>
        <r>
          <rPr>
            <sz val="10"/>
            <rFont val="宋体"/>
            <charset val="134"/>
          </rPr>
          <t>Source: Ho Chi Minh City Population: Updated Statistics 2025 - Maison Office
Year: 2023
Tier: Secondary
URL: https://maisonoffice.vn/en/news/ho-chi-minh-city-population/
Note: Population as of 1 Jun 2023.</t>
        </r>
      </text>
    </comment>
    <comment ref="D23" authorId="0">
      <text>
        <r>
          <rPr>
            <sz val="10"/>
            <rFont val="宋体"/>
            <charset val="134"/>
          </rPr>
          <t>Derived metric.
Formula: Population / administrative area
Underlying years: 2019–2023
Sources:
- Ho Chi Minh City Population: Updated Statistics 2025 - Maison Office
  https://maisonoffice.vn/en/news/ho-chi-minh-city-population/
- Ho Chi Minh City (Wikipedia; historical population/area table)
  https://en.wikipedia.org/wiki/Ho_Chi_Minh_City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D1" authorId="0">
      <text>
        <r>
          <rPr>
            <sz val="10"/>
            <rFont val="宋体"/>
            <charset val="134"/>
          </rPr>
          <t>Population density is formula-derived in this workbook as Population / administrative area.</t>
        </r>
      </text>
    </comment>
    <comment ref="F1" authorId="0">
      <text>
        <r>
          <rPr>
            <sz val="10"/>
            <rFont val="宋体"/>
            <charset val="134"/>
          </rPr>
          <t>Administrative area is used as the denominator for density unless noted otherwise in Boundary/notes.</t>
        </r>
      </text>
    </comment>
    <comment ref="N1" authorId="0">
      <text>
        <r>
          <rPr>
            <sz val="10"/>
            <rFont val="宋体"/>
            <charset val="134"/>
          </rPr>
          <t>GDP per capita is stored in each city's local currency unless otherwise noted. See Data_Long &gt; Unit column.</t>
        </r>
      </text>
    </comment>
    <comment ref="O1" authorId="0">
      <text>
        <r>
          <rPr>
            <sz val="10"/>
            <rFont val="宋体"/>
            <charset val="134"/>
          </rPr>
          <t>Total GDP is stored in each city's local currency unless otherwise noted. See Data_Long &gt; Unit column.</t>
        </r>
      </text>
    </comment>
    <comment ref="C2" authorId="0">
      <text>
        <r>
          <rPr>
            <sz val="10"/>
            <rFont val="宋体"/>
            <charset val="134"/>
          </rPr>
          <t>Source: Bandung metropolitan area (Wikipedia search snippet citing official BPS mid-2024 estimate)
Year: 2024
Tier: Secondary
URL: https://en.wikipedia.org/wiki/Bandung_metropolitan_area
Note: Mid-2024 estimate; secondary source cites official BPS estimate.</t>
        </r>
      </text>
    </comment>
    <comment ref="D2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Bandung metropolitan area (Wikipedia search snippet citing official BPS mid-2024 estimate)
  https://en.wikipedia.org/wiki/Bandung_metropolitan_area
- Area by Subdistrict in the City of Bandung (Km2), 2024 - BPS Bandung Municipality
  https://bandungkota.bps.go.id/en/statistics-table/2/MzQjMg%3D%3D/area-by-subdistrict-in-th-city-of-bandung.html</t>
        </r>
      </text>
    </comment>
    <comment ref="F2" authorId="0">
      <text>
        <r>
          <rPr>
            <sz val="10"/>
            <rFont val="宋体"/>
            <charset val="134"/>
          </rPr>
          <t>Source: Area by Subdistrict in the City of Bandung (Km2), 2024 - BPS Bandung Municipality
Year: 2024
Tier: Primary
URL: https://bandungkota.bps.go.id/en/statistics-table/2/MzQjMg%3D%3D/area-by-subdistrict-in-th-city-of-bandung.html
Note: BPS Bandung Municipality, total city area.</t>
        </r>
      </text>
    </comment>
    <comment ref="C3" authorId="0">
      <text>
        <r>
          <rPr>
            <sz val="10"/>
            <rFont val="宋体"/>
            <charset val="134"/>
          </rPr>
          <t>Source: Jakarta population recorded at 11.01 million - Berita Jakarta
Year: 2025
Tier: Primary
URL: https://m.beritajakarta.id/en/read/61194/jakarta-population-recorded-at-1101-million
Note: First semester 2025 population reported by Jakarta official media.</t>
        </r>
      </text>
    </comment>
    <comment ref="D3" authorId="0">
      <text>
        <r>
          <rPr>
            <sz val="10"/>
            <rFont val="宋体"/>
            <charset val="134"/>
          </rPr>
          <t>Derived metric.
Formula: Population / administrative area
Underlying years: 2025–2025
Sources:
- Jakarta population recorded at 11.01 million - Berita Jakarta
  https://m.beritajakarta.id/en/read/61194/jakarta-population-recorded-at-1101-million
- Tentang Jakarta - Pemerintah Provinsi DKI Jakarta
  https://www.jakarta.go.id/tentang-jakarta</t>
        </r>
      </text>
    </comment>
    <comment ref="F3" authorId="0">
      <text>
        <r>
          <rPr>
            <sz val="10"/>
            <rFont val="宋体"/>
            <charset val="134"/>
          </rPr>
          <t>Source: Tentang Jakarta - Pemerintah Provinsi DKI Jakarta
Year: 2025
Tier: Primary
URL: https://www.jakarta.go.id/tentang-jakarta
Note: Land area reported by Jakarta provincial government.</t>
        </r>
      </text>
    </comment>
    <comment ref="C4" authorId="0">
      <text>
        <r>
          <rPr>
            <sz val="10"/>
            <rFont val="宋体"/>
            <charset val="134"/>
          </rPr>
          <t>Source: Medan (Wikipedia search snippet citing BPS Kota Medan Dalam Angka 2025)
Year: 2024
Tier: Secondary
URL: https://en.wikipedia.org/wiki/Medan
Note: Official mid-2024 estimate cited in secondary source.</t>
        </r>
      </text>
    </comment>
    <comment ref="D4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Medan (Wikipedia search snippet citing BPS Kota Medan Dalam Angka 2025)
  https://en.wikipedia.org/wiki/Medan
- Medan (Wikipedia search snippet citing BPS Kota Medan Dalam Angka 2025)
  https://en.wikipedia.org/wiki/Medan</t>
        </r>
      </text>
    </comment>
    <comment ref="F4" authorId="0">
      <text>
        <r>
          <rPr>
            <sz val="10"/>
            <rFont val="宋体"/>
            <charset val="134"/>
          </rPr>
          <t>Source: Medan (Wikipedia search snippet citing BPS Kota Medan Dalam Angka 2025)
Year: 2024
Tier: Secondary
URL: https://en.wikipedia.org/wiki/Medan
Note: City area from BPS-cited secondary source.</t>
        </r>
      </text>
    </comment>
    <comment ref="C5" authorId="0">
      <text>
        <r>
          <rPr>
            <sz val="10"/>
            <rFont val="宋体"/>
            <charset val="134"/>
          </rPr>
          <t>Source: Palembang (Wikipedia search snippet citing official mid-2024 estimate)
Year: 2024
Tier: Secondary
URL: https://en.wikipedia.org/wiki/Palembang
Note: Official mid-2024 estimate cited in secondary source.</t>
        </r>
      </text>
    </comment>
    <comment ref="D5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Palembang (Wikipedia search snippet citing official mid-2024 estimate)
  https://en.wikipedia.org/wiki/Palembang
- Total Area by Regency/Municipality (Km2), 2024 - BPS Sumatera Selatan
  https://sumsel.bps.go.id/en/statistics-table/2/MjAxIzI%3D/luas-wilayah</t>
        </r>
      </text>
    </comment>
    <comment ref="F5" authorId="0">
      <text>
        <r>
          <rPr>
            <sz val="10"/>
            <rFont val="宋体"/>
            <charset val="134"/>
          </rPr>
          <t>Source: Total Area by Regency/Municipality (Km2), 2024 - BPS Sumatera Selatan
Year: 2024
Tier: Primary
URL: https://sumsel.bps.go.id/en/statistics-table/2/MjAxIzI%3D/luas-wilayah
Note: BPS Sumatera Selatan, 2024 area table.</t>
        </r>
      </text>
    </comment>
    <comment ref="C6" authorId="0">
      <text>
        <r>
          <rPr>
            <sz val="10"/>
            <rFont val="宋体"/>
            <charset val="134"/>
          </rPr>
          <t>Source: Surabaya (Wikipedia search snippet citing official mid-2024 estimate)
Year: 2024
Tier: Secondary
URL: https://en.wikipedia.org/wiki/Surabaya
Note: Official mid-2024 estimate cited in secondary source.</t>
        </r>
      </text>
    </comment>
    <comment ref="D6" authorId="0">
      <text>
        <r>
          <rPr>
            <sz val="10"/>
            <rFont val="宋体"/>
            <charset val="134"/>
          </rPr>
          <t>Derived metric.
Formula: Population / administrative area
Underlying years: 2024–2025
Sources:
- Surabaya (Wikipedia search snippet citing official mid-2024 estimate)
  https://en.wikipedia.org/wiki/Surabaya
- Luas Daerah Menurut Kabupaten/Kota di Provinsi Jawa Timur, 2025 - BPS Jawa Timur
  https://jatim.bps.go.id/en/statistics-table/3/VUZwV01tSlpPVlpsWlRKbmMxcFhhSGhEVjFoUFFUMDkjMw%3D%3D/luas-daerah-dan-jumlah-pulau-menurut-kabupaten-kota-di-provinsi-jawa-timur--2024.html</t>
        </r>
      </text>
    </comment>
    <comment ref="F6" authorId="0">
      <text>
        <r>
          <rPr>
            <sz val="10"/>
            <rFont val="宋体"/>
            <charset val="134"/>
          </rPr>
          <t>Source: Luas Daerah Menurut Kabupaten/Kota di Provinsi Jawa Timur, 2025 - BPS Jawa Timur
Year: 2025
Tier: Primary
URL: https://jatim.bps.go.id/en/statistics-table/3/VUZwV01tSlpPVlpsWlRKbmMxcFhhSGhEVjFoUFFUMDkjMw%3D%3D/luas-daerah-dan-jumlah-pulau-menurut-kabupaten-kota-di-provinsi-jawa-timur--2024.html
Note: BPS Jawa Timur 2025 area table.</t>
        </r>
      </text>
    </comment>
    <comment ref="C7" authorId="0">
      <text>
        <r>
          <rPr>
            <sz val="10"/>
            <rFont val="宋体"/>
            <charset val="134"/>
          </rPr>
          <t>Source: George Town, Penang (Wikipedia; 2020 population and area)
Year: 2020
Tier: Secondary
URL: https://en.wikipedia.org/wiki/George_Town,_Penang
Note: 2020 city proper population.</t>
        </r>
      </text>
    </comment>
    <comment ref="D7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George Town, Penang (Wikipedia; 2020 population and area)
  https://en.wikipedia.org/wiki/George_Town,_Penang
- George Town, Penang (Wikipedia; 2020 population and area)
  https://en.wikipedia.org/wiki/George_Town,_Penang</t>
        </r>
      </text>
    </comment>
    <comment ref="F7" authorId="0">
      <text>
        <r>
          <rPr>
            <sz val="10"/>
            <rFont val="宋体"/>
            <charset val="134"/>
          </rPr>
          <t>Source: George Town, Penang (Wikipedia; 2020 population and area)
Year: 2020
Tier: Secondary
URL: https://en.wikipedia.org/wiki/George_Town,_Penang
Note: City proper area.</t>
        </r>
      </text>
    </comment>
    <comment ref="C8" authorId="0">
      <text>
        <r>
          <rPr>
            <sz val="10"/>
            <rFont val="宋体"/>
            <charset val="134"/>
          </rPr>
          <t>Source: Ipoh (Wikipedia; 2020 population and area)
Year: 2020
Tier: Secondary
URL: https://en.wikipedia.org/wiki/Ipoh
Note: 2020 city population.</t>
        </r>
      </text>
    </comment>
    <comment ref="D8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Ipoh (Wikipedia; 2020 population and area)
  https://en.wikipedia.org/wiki/Ipoh
- Ipoh (Wikipedia; 2020 population and area)
  https://en.wikipedia.org/wiki/Ipoh</t>
        </r>
      </text>
    </comment>
    <comment ref="F8" authorId="0">
      <text>
        <r>
          <rPr>
            <sz val="10"/>
            <rFont val="宋体"/>
            <charset val="134"/>
          </rPr>
          <t>Source: Ipoh (Wikipedia; 2020 population and area)
Year: 2020
Tier: Secondary
URL: https://en.wikipedia.org/wiki/Ipoh
Note: City area.</t>
        </r>
      </text>
    </comment>
    <comment ref="C9" authorId="0">
      <text>
        <r>
          <rPr>
            <sz val="10"/>
            <rFont val="宋体"/>
            <charset val="134"/>
          </rPr>
          <t>Source: Johor Bahru (Wikipedia; 2020 population and area)
Year: 2020
Tier: Secondary
URL: https://en.wikipedia.org/wiki/Johor_Bahru
Note: 2020 city proper population.</t>
        </r>
      </text>
    </comment>
    <comment ref="D9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Johor Bahru (Wikipedia; 2020 population and area)
  https://en.wikipedia.org/wiki/Johor_Bahru
- Johor Bahru (Wikipedia; 2020 population and area)
  https://en.wikipedia.org/wiki/Johor_Bahru</t>
        </r>
      </text>
    </comment>
    <comment ref="F9" authorId="0">
      <text>
        <r>
          <rPr>
            <sz val="10"/>
            <rFont val="宋体"/>
            <charset val="134"/>
          </rPr>
          <t>Source: Johor Bahru (Wikipedia; 2020 population and area)
Year: 2020
Tier: Secondary
URL: https://en.wikipedia.org/wiki/Johor_Bahru
Note: City proper area.</t>
        </r>
      </text>
    </comment>
    <comment ref="C10" authorId="0">
      <text>
        <r>
          <rPr>
            <sz val="10"/>
            <rFont val="宋体"/>
            <charset val="134"/>
          </rPr>
          <t>Source: Key Findings Population and Housing Census of Malaysia 2020: Administrative District - DOSM
Year: 2020
Tier: Primary
URL: https://www.dosm.gov.my/portal-main/release-content/key-findings-population-and-housing-census-of-malaysia-2020-administrative-district
Note: Kajang Municipal Council / local authority population from DOSM census release.</t>
        </r>
      </text>
    </comment>
    <comment ref="D10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Key Findings Population and Housing Census of Malaysia 2020: Administrative District - DOSM
  https://www.dosm.gov.my/portal-main/release-content/key-findings-population-and-housing-census-of-malaysia-2020-administrative-district
- Kajang (Wikipedia; local authority area)
  https://en.wikipedia.org/wiki/Kajang</t>
        </r>
      </text>
    </comment>
    <comment ref="F10" authorId="0">
      <text>
        <r>
          <rPr>
            <sz val="10"/>
            <rFont val="宋体"/>
            <charset val="134"/>
          </rPr>
          <t>Source: Kajang (Wikipedia; local authority area)
Year: 2020
Tier: Secondary
URL: https://en.wikipedia.org/wiki/Kajang
Note: Local authority area from secondary source.</t>
        </r>
      </text>
    </comment>
    <comment ref="C11" authorId="0">
      <text>
        <r>
          <rPr>
            <sz val="10"/>
            <rFont val="宋体"/>
            <charset val="134"/>
          </rPr>
          <t>Source: Kota Bharu (Wikipedia / city summary)
Year: 2022
Tier: Secondary
URL: https://en.wikipedia.org/wiki/Kota_Bharu
Note: Secondary source; city/municipality figure.</t>
        </r>
      </text>
    </comment>
    <comment ref="D11" authorId="0">
      <text>
        <r>
          <rPr>
            <sz val="10"/>
            <rFont val="宋体"/>
            <charset val="134"/>
          </rPr>
          <t>Derived metric.
Formula: Population / administrative area
Underlying years: 2022–2022
Sources:
- Kota Bharu (Wikipedia / city summary)
  https://en.wikipedia.org/wiki/Kota_Bharu
- Kota Bharu (Wikipedia / city summary)
  https://en.wikipedia.org/wiki/Kota_Bharu</t>
        </r>
      </text>
    </comment>
    <comment ref="F11" authorId="0">
      <text>
        <r>
          <rPr>
            <sz val="10"/>
            <rFont val="宋体"/>
            <charset val="134"/>
          </rPr>
          <t>Source: Kota Bharu (Wikipedia / city summary)
Year: 2022
Tier: Secondary
URL: https://en.wikipedia.org/wiki/Kota_Bharu
Note: Secondary source.</t>
        </r>
      </text>
    </comment>
    <comment ref="C12" authorId="0">
      <text>
        <r>
          <rPr>
            <sz val="10"/>
            <rFont val="宋体"/>
            <charset val="134"/>
          </rPr>
          <t>Source: W.P. Kuala Lumpur - The Population of Malaysia - OpenDOSM
Year: 2024
Tier: Primary
URL: https://open.dosm.gov.my/dashboard/population/kul
Note: OpenDOSM dashboard reports total population (2024) ~2.1 million.</t>
        </r>
      </text>
    </comment>
    <comment ref="D12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W.P. Kuala Lumpur - The Population of Malaysia - OpenDOSM
  https://open.dosm.gov.my/dashboard/population/kul
- Kuala Lumpur (Wikipedia; area 243 km²)
  https://en.wikipedia.org/wiki/Kuala_Lumpur</t>
        </r>
      </text>
    </comment>
    <comment ref="F12" authorId="0">
      <text>
        <r>
          <rPr>
            <sz val="10"/>
            <rFont val="宋体"/>
            <charset val="134"/>
          </rPr>
          <t>Source: Kuala Lumpur (Wikipedia; area 243 km²)
Year: 2024
Tier: Secondary
URL: https://en.wikipedia.org/wiki/Kuala_Lumpur
Note: Federal territory area.</t>
        </r>
      </text>
    </comment>
    <comment ref="N12" authorId="0">
      <text>
        <r>
          <rPr>
            <sz val="10"/>
            <rFont val="宋体"/>
            <charset val="134"/>
          </rPr>
          <t>Derived metric.
Formula: Total GDP / Population
Underlying years: 2024–2024
Sources:
- Media Statement Gross Domestic Product (GDP) by State 2024 - DOSM
  https://www.statistics.gov.my/uploads/release-content/file_20250701120035.pdf
- W.P. Kuala Lumpur - The Population of Malaysia - OpenDOSM
  https://open.dosm.gov.my/dashboard/population/kul
Note: Derived in workbook from 2024 GDP ÷ 2024 population.</t>
        </r>
      </text>
    </comment>
    <comment ref="O12" authorId="0">
      <text>
        <r>
          <rPr>
            <sz val="10"/>
            <rFont val="宋体"/>
            <charset val="134"/>
          </rPr>
          <t>Source: Media Statement Gross Domestic Product (GDP) by State 2024 - DOSM
Year: 2024
Tier: Primary
URL: https://www.statistics.gov.my/uploads/release-content/file_20250701120035.pdf
Note: DOSM GDP by state 2024; applied here to the Federal Territory of Kuala Lumpur.</t>
        </r>
      </text>
    </comment>
    <comment ref="C13" authorId="0">
      <text>
        <r>
          <rPr>
            <sz val="10"/>
            <rFont val="宋体"/>
            <charset val="134"/>
          </rPr>
          <t>Source: Key Findings Population and Housing Census of Malaysia 2020: Administrative District - DOSM
Year: 2020
Tier: Primary
URL: https://www.dosm.gov.my/portal-main/release-content/key-findings-population-and-housing-census-of-malaysia-2020-administrative-district
Note: Seberang Perai City Council / local authority population from DOSM census release.</t>
        </r>
      </text>
    </comment>
    <comment ref="D13" authorId="0">
      <text>
        <r>
          <rPr>
            <sz val="10"/>
            <rFont val="宋体"/>
            <charset val="134"/>
          </rPr>
          <t>Derived metric.
Formula: Population / administrative area
Underlying years: 2020–2020
Sources:
- Key Findings Population and Housing Census of Malaysia 2020: Administrative District - DOSM
  https://www.dosm.gov.my/portal-main/release-content/key-findings-population-and-housing-census-of-malaysia-2020-administrative-district
- Seberang Perai (Wikipedia; local authority area)
  https://en.wikipedia.org/wiki/Seberang_Perai</t>
        </r>
      </text>
    </comment>
    <comment ref="F13" authorId="0">
      <text>
        <r>
          <rPr>
            <sz val="10"/>
            <rFont val="宋体"/>
            <charset val="134"/>
          </rPr>
          <t>Source: Seberang Perai (Wikipedia; local authority area)
Year: 2020
Tier: Secondary
URL: https://en.wikipedia.org/wiki/Seberang_Perai
Note: Local authority area.</t>
        </r>
      </text>
    </comment>
    <comment ref="C14" authorId="0">
      <text>
        <r>
          <rPr>
            <sz val="10"/>
            <rFont val="宋体"/>
            <charset val="134"/>
          </rPr>
          <t>Source: Davao City (Wikipedia; 2024 census population and area)
Year: 2024
Tier: Secondary
URL: https://en.wikipedia.org/wiki/Davao_City
Note: 2024 census population in secondary source.</t>
        </r>
      </text>
    </comment>
    <comment ref="D14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Davao City (Wikipedia; 2024 census population and area)
  https://en.wikipedia.org/wiki/Davao_City
- Davao City (Wikipedia; 2024 census population and area)
  https://en.wikipedia.org/wiki/Davao_City</t>
        </r>
      </text>
    </comment>
    <comment ref="F14" authorId="0">
      <text>
        <r>
          <rPr>
            <sz val="10"/>
            <rFont val="宋体"/>
            <charset val="134"/>
          </rPr>
          <t>Source: Davao City (Wikipedia; 2024 census population and area)
Year: 2024
Tier: Secondary
URL: https://en.wikipedia.org/wiki/Davao_City
Note: Land area from secondary source.</t>
        </r>
      </text>
    </comment>
    <comment ref="N14" authorId="0">
      <text>
        <r>
          <rPr>
            <sz val="10"/>
            <rFont val="宋体"/>
            <charset val="134"/>
          </rPr>
          <t>Derived metric.
Formula: Total GDP / Population
Underlying years: 2024–2024
Sources:
- Davao City leads regional economic growth at 7.9% in 2024 - City Government of Davao
  https://davaocity.gov.ph/economy/davao-city-leads-regional-economic-growth-at-7-9-in-2024/
- Davao City (Wikipedia; 2024 census population and area)
  https://en.wikipedia.org/wiki/Davao_City
Note: Derived in workbook from 2024 GDP ÷ 2024 population.</t>
        </r>
      </text>
    </comment>
    <comment ref="O14" authorId="0">
      <text>
        <r>
          <rPr>
            <sz val="10"/>
            <rFont val="宋体"/>
            <charset val="134"/>
          </rPr>
          <t>Source: Davao City leads regional economic growth at 7.9% in 2024 - City Government of Davao
Year: 2024
Tier: Primary
URL: https://davaocity.gov.ph/economy/davao-city-leads-regional-economic-growth-at-7-9-in-2024/
Note: 2024 GDP from Davao City government citing PSA.</t>
        </r>
      </text>
    </comment>
    <comment ref="C15" authorId="0">
      <text>
        <r>
          <rPr>
            <sz val="10"/>
            <rFont val="宋体"/>
            <charset val="134"/>
          </rPr>
          <t>Source: Manila (Wikipedia; 2024 census population and area)
Year: 2024
Tier: Secondary
URL: https://en.wikipedia.org/wiki/Manila
Note: 2024 census population in secondary source.</t>
        </r>
      </text>
    </comment>
    <comment ref="D15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Manila (Wikipedia; 2024 census population and area)
  https://en.wikipedia.org/wiki/Manila
- Manila (Wikipedia; 2024 census population and area)
  https://en.wikipedia.org/wiki/Manila</t>
        </r>
      </text>
    </comment>
    <comment ref="F15" authorId="0">
      <text>
        <r>
          <rPr>
            <sz val="10"/>
            <rFont val="宋体"/>
            <charset val="134"/>
          </rPr>
          <t>Source: Manila (Wikipedia; 2024 census population and area)
Year: 2024
Tier: Secondary
URL: https://en.wikipedia.org/wiki/Manila
Note: City area in secondary source.</t>
        </r>
      </text>
    </comment>
    <comment ref="N15" authorId="0">
      <text>
        <r>
          <rPr>
            <sz val="10"/>
            <rFont val="宋体"/>
            <charset val="134"/>
          </rPr>
          <t>Derived metric.
Formula: Total GDP / Population
Underlying years: 2024–2024
Sources:
- Eastern Samar tops fastest-growing economies in PH for 2024 - Philippine Information Agency
  https://pia.gov.ph/news/eastern-samar-tops-fastest-growing-economies-in-ph-for-2024-psa/
- Manila (Wikipedia; 2024 census population and area)
  https://en.wikipedia.org/wiki/Manila
Note: Derived in workbook from 2024 GDP ÷ 2024 population.</t>
        </r>
      </text>
    </comment>
    <comment ref="O15" authorId="0">
      <text>
        <r>
          <rPr>
            <sz val="10"/>
            <rFont val="宋体"/>
            <charset val="134"/>
          </rPr>
          <t>Source: Eastern Samar tops fastest-growing economies in PH for 2024 - Philippine Information Agency
Year: 2024
Tier: Secondary
URL: https://pia.gov.ph/news/eastern-samar-tops-fastest-growing-economies-in-ph-for-2024-psa/
Note: 2024 GDP reported by Philippine Information Agency citing PSA.</t>
        </r>
      </text>
    </comment>
    <comment ref="C16" authorId="0">
      <text>
        <r>
          <rPr>
            <sz val="10"/>
            <rFont val="宋体"/>
            <charset val="134"/>
          </rPr>
          <t>Source: Population in Brief 2025 - National Population and Talent Division
Year: 2025
Tier: Primary
URL: https://www.population.gov.sg/files/media-centre/publications/Population_in_Brief_2025.pdf
Note: Total population as at June 2025.</t>
        </r>
      </text>
    </comment>
    <comment ref="D16" authorId="0">
      <text>
        <r>
          <rPr>
            <sz val="10"/>
            <rFont val="宋体"/>
            <charset val="134"/>
          </rPr>
          <t>Derived metric.
Formula: Population / administrative area
Underlying years: 2025–2025
Sources:
- Population in Brief 2025 - National Population and Talent Division
  https://www.population.gov.sg/files/media-centre/publications/Population_in_Brief_2025.pdf
- Singapore Environment Statistics - SingStat
  https://www.singstat.gov.sg/publications/reference/ebook/society/environment</t>
        </r>
      </text>
    </comment>
    <comment ref="F16" authorId="0">
      <text>
        <r>
          <rPr>
            <sz val="10"/>
            <rFont val="宋体"/>
            <charset val="134"/>
          </rPr>
          <t>Source: Singapore Environment Statistics - SingStat
Year: 2025
Tier: Primary
URL: https://www.singstat.gov.sg/publications/reference/ebook/society/environment
Note: Total land area at end-2025.</t>
        </r>
      </text>
    </comment>
    <comment ref="N16" authorId="0">
      <text>
        <r>
          <rPr>
            <sz val="10"/>
            <rFont val="宋体"/>
            <charset val="134"/>
          </rPr>
          <t>Source: Singapore Economy 2024 infographic - SingStat
Year: 2024
Tier: Primary
URL: https://www.singstat.gov.sg/modules/infographics/-/media/Files/visualising_data/infographics/Economy/singapore-economy04042025.pdf
Note: Official 2024 GDP per capita.</t>
        </r>
      </text>
    </comment>
    <comment ref="O16" authorId="0">
      <text>
        <r>
          <rPr>
            <sz val="10"/>
            <rFont val="宋体"/>
            <charset val="134"/>
          </rPr>
          <t>Source: Singapore Economy 2024 infographic - SingStat
Year: 2024
Tier: Primary
URL: https://www.singstat.gov.sg/modules/infographics/-/media/Files/visualising_data/infographics/Economy/singapore-economy04042025.pdf
Note: Current market prices, 2024.</t>
        </r>
      </text>
    </comment>
    <comment ref="C17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17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F17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area series (2021).</t>
        </r>
      </text>
    </comment>
    <comment ref="C18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18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F18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area series (2021).</t>
        </r>
      </text>
    </comment>
    <comment ref="C19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19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F19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area series (2021).</t>
        </r>
      </text>
    </comment>
    <comment ref="C20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20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F20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area series (2021).</t>
        </r>
      </text>
    </comment>
    <comment ref="C21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population series (2021) from secondary table.</t>
        </r>
      </text>
    </comment>
    <comment ref="D21" authorId="0">
      <text>
        <r>
          <rPr>
            <sz val="10"/>
            <rFont val="宋体"/>
            <charset val="134"/>
          </rPr>
          <t>Derived metric.
Formula: Population / administrative area
Underlying years: 2021–2021
Sources:
- List of municipalities in Thailand (urban population/area table)
  https://en.wikipedia.org/wiki/List_of_municipalities_in_Thailand
- List of municipalities in Thailand (urban population/area table)
  https://en.wikipedia.org/wiki/List_of_municipalities_in_Thailand</t>
        </r>
      </text>
    </comment>
    <comment ref="F21" authorId="0">
      <text>
        <r>
          <rPr>
            <sz val="10"/>
            <rFont val="宋体"/>
            <charset val="134"/>
          </rPr>
          <t>Source: List of municipalities in Thailand (urban population/area table)
Year: 2021
Tier: Secondary
URL: https://en.wikipedia.org/wiki/List_of_municipalities_in_Thailand
Note: Urban area series (2021).</t>
        </r>
      </text>
    </comment>
    <comment ref="C22" authorId="0">
      <text>
        <r>
          <rPr>
            <sz val="10"/>
            <rFont val="宋体"/>
            <charset val="134"/>
          </rPr>
          <t>Source: Hanoi (Wikipedia; 2025 population and area)
Year: 2025
Tier: Secondary
URL: https://en.wikipedia.org/wiki/Hanoi
Note: 2025 population in secondary source.</t>
        </r>
      </text>
    </comment>
    <comment ref="D22" authorId="0">
      <text>
        <r>
          <rPr>
            <sz val="10"/>
            <rFont val="宋体"/>
            <charset val="134"/>
          </rPr>
          <t>Derived metric.
Formula: Population / administrative area
Underlying years: 2025–2025
Sources:
- Hanoi (Wikipedia; 2025 population and area)
  https://en.wikipedia.org/wiki/Hanoi
- Hanoi (Wikipedia; 2025 population and area)
  https://en.wikipedia.org/wiki/Hanoi</t>
        </r>
      </text>
    </comment>
    <comment ref="F22" authorId="0">
      <text>
        <r>
          <rPr>
            <sz val="10"/>
            <rFont val="宋体"/>
            <charset val="134"/>
          </rPr>
          <t>Source: Hanoi (Wikipedia; 2025 population and area)
Year: 2025
Tier: Secondary
URL: https://en.wikipedia.org/wiki/Hanoi
Note: Municipal area in secondary source.</t>
        </r>
      </text>
    </comment>
    <comment ref="N22" authorId="0">
      <text>
        <r>
          <rPr>
            <sz val="10"/>
            <rFont val="宋体"/>
            <charset val="134"/>
          </rPr>
          <t>Source: Top five localities with the largest economies in 2024 - Vietnam News
Year: 2024
Tier: Secondary
URL: https://vietnamnews.vn/economy/1690605/top-five-localities-with-the-largest-economies-in-2024.html
Note: 2024 GRDP per capita.</t>
        </r>
      </text>
    </comment>
    <comment ref="O22" authorId="0">
      <text>
        <r>
          <rPr>
            <sz val="10"/>
            <rFont val="宋体"/>
            <charset val="134"/>
          </rPr>
          <t>Source: Top five localities with the largest economies in 2024 - Vietnam News
Year: 2024
Tier: Secondary
URL: https://vietnamnews.vn/economy/1690605/top-five-localities-with-the-largest-economies-in-2024.html
Note: 2024 GRDP at current prices.</t>
        </r>
      </text>
    </comment>
    <comment ref="C23" authorId="0">
      <text>
        <r>
          <rPr>
            <sz val="10"/>
            <rFont val="宋体"/>
            <charset val="134"/>
          </rPr>
          <t>Source: Ho Chi Minh City Population: Updated Statistics 2025 - Maison Office
Year: 2023
Tier: Secondary
URL: https://maisonoffice.vn/en/news/ho-chi-minh-city-population/
Note: Population as of 1 Jun 2023.</t>
        </r>
      </text>
    </comment>
    <comment ref="D23" authorId="0">
      <text>
        <r>
          <rPr>
            <sz val="10"/>
            <rFont val="宋体"/>
            <charset val="134"/>
          </rPr>
          <t>Derived metric.
Formula: Population / administrative area
Underlying years: 2019–2023
Sources:
- Ho Chi Minh City Population: Updated Statistics 2025 - Maison Office
  https://maisonoffice.vn/en/news/ho-chi-minh-city-population/
- Ho Chi Minh City (Wikipedia; historical population/area table)
  https://en.wikipedia.org/wiki/Ho_Chi_Minh_City</t>
        </r>
      </text>
    </comment>
    <comment ref="F23" authorId="0">
      <text>
        <r>
          <rPr>
            <sz val="10"/>
            <rFont val="宋体"/>
            <charset val="134"/>
          </rPr>
          <t>Source: Ho Chi Minh City (Wikipedia; historical population/area table)
Year: 2019
Tier: Secondary
URL: https://en.wikipedia.org/wiki/Ho_Chi_Minh_City
Note: Pre-merger municipal area in historical table.</t>
        </r>
      </text>
    </comment>
    <comment ref="O23" authorId="0">
      <text>
        <r>
          <rPr>
            <sz val="10"/>
            <rFont val="宋体"/>
            <charset val="134"/>
          </rPr>
          <t>Source: HCMC leads Vietnam in economic output ahead of administrative changes - VietNamNet
Year: 2024
Tier: Secondary
URL: https://vietnamnet.vn/en/hcm-city-leads-vietnam-in-economic-output-ahead-of-administrative-changes-2387480.html
Note: 2024 GRDP at current prices.</t>
        </r>
      </text>
    </comment>
  </commentList>
</comments>
</file>

<file path=xl/comments3.xml><?xml version="1.0" encoding="utf-8"?>
<comments xmlns="http://schemas.openxmlformats.org/spreadsheetml/2006/main">
  <authors>
    <author>OpenAI</author>
  </authors>
  <commentList>
    <comment ref="D1" authorId="0">
      <text>
        <r>
          <rPr>
            <sz val="10"/>
            <rFont val="宋体"/>
            <charset val="134"/>
          </rPr>
          <t>Population density is formula-derived in this workbook as Population / administrative area.</t>
        </r>
      </text>
    </comment>
    <comment ref="C2" authorId="0">
      <text>
        <r>
          <rPr>
            <sz val="10"/>
            <rFont val="宋体"/>
            <charset val="134"/>
          </rPr>
          <t>Source: Manila (Wikipedia; 2024 census population and area)
Year: 2024
Tier: Secondary
URL: https://en.wikipedia.org/wiki/Manila
Note: 2024 census population in secondary source.</t>
        </r>
      </text>
    </comment>
    <comment ref="D2" authorId="0">
      <text>
        <r>
          <rPr>
            <sz val="10"/>
            <rFont val="宋体"/>
            <charset val="134"/>
          </rPr>
          <t>Derived metric.
Formula: Population / administrative area
Underlying years: 2024–2024
Sources:
- Manila (Wikipedia; 2024 census population and area)
  https://en.wikipedia.org/wiki/Manila
- Manila (Wikipedia; 2024 census population and area)
  https://en.wikipedia.org/wiki/Manila</t>
        </r>
      </text>
    </comment>
  </commentList>
</comments>
</file>

<file path=xl/sharedStrings.xml><?xml version="1.0" encoding="utf-8"?>
<sst xmlns="http://schemas.openxmlformats.org/spreadsheetml/2006/main" count="1068" uniqueCount="340">
  <si>
    <t>Country name</t>
  </si>
  <si>
    <t>city name</t>
  </si>
  <si>
    <t>Population</t>
  </si>
  <si>
    <t>Population density</t>
  </si>
  <si>
    <t>administrative area (km2)</t>
  </si>
  <si>
    <t>GDP per capita (2024/$)</t>
  </si>
  <si>
    <t>Total GDP (2024)</t>
  </si>
  <si>
    <t>GRDP / PDRB (2024)</t>
  </si>
  <si>
    <t>Vehicle quantity</t>
  </si>
  <si>
    <t>motor vehicles per 1,000 people</t>
  </si>
  <si>
    <t>Road network supply</t>
  </si>
  <si>
    <t>road length (km)</t>
  </si>
  <si>
    <t>Population density (persons/km)</t>
  </si>
  <si>
    <t>Indonesia</t>
  </si>
  <si>
    <t>Bandung</t>
  </si>
  <si>
    <t>$24.2 B</t>
  </si>
  <si>
    <t>~1,650,000</t>
  </si>
  <si>
    <t>Jakarta</t>
  </si>
  <si>
    <t>$234.6 B</t>
  </si>
  <si>
    <t>~18,500,000</t>
  </si>
  <si>
    <t>Medan</t>
  </si>
  <si>
    <t>$20.5 B</t>
  </si>
  <si>
    <t>~1,420,000</t>
  </si>
  <si>
    <t>Palembang</t>
  </si>
  <si>
    <t>$13.3 B</t>
  </si>
  <si>
    <t>~980,000</t>
  </si>
  <si>
    <t>Surabaya</t>
  </si>
  <si>
    <t>$50.0 B</t>
  </si>
  <si>
    <t>~2,850,000</t>
  </si>
  <si>
    <t>Malaysia</t>
  </si>
  <si>
    <t>George Town</t>
  </si>
  <si>
    <t>$26.1 B</t>
  </si>
  <si>
    <t>~1,150,000</t>
  </si>
  <si>
    <t>Ipoh</t>
  </si>
  <si>
    <t>$18.5 B</t>
  </si>
  <si>
    <t>~880,000</t>
  </si>
  <si>
    <t>Johor Bahru</t>
  </si>
  <si>
    <t>$34.0 B</t>
  </si>
  <si>
    <t>~1,450,000</t>
  </si>
  <si>
    <t>Kajang</t>
  </si>
  <si>
    <t>$14.2 B</t>
  </si>
  <si>
    <t>~1,750,000</t>
  </si>
  <si>
    <t>Kota Bharu</t>
  </si>
  <si>
    <t>$6.2 B</t>
  </si>
  <si>
    <t>~460,000</t>
  </si>
  <si>
    <t>Kuala Lumpur</t>
  </si>
  <si>
    <t>$71.0 B</t>
  </si>
  <si>
    <t>~3,350,000</t>
  </si>
  <si>
    <t>Seberang Perai</t>
  </si>
  <si>
    <t>~1,250,000</t>
  </si>
  <si>
    <t>Philippines</t>
  </si>
  <si>
    <t>Davao City</t>
  </si>
  <si>
    <t>$10.0 B</t>
  </si>
  <si>
    <t>~420,000</t>
  </si>
  <si>
    <t>Manila City (NCR)</t>
  </si>
  <si>
    <t>$153.2 B</t>
  </si>
  <si>
    <t>~3,600,000</t>
  </si>
  <si>
    <t>Singapore</t>
  </si>
  <si>
    <t>$530.0 B</t>
  </si>
  <si>
    <t>~995,000</t>
  </si>
  <si>
    <t>Thailand</t>
  </si>
  <si>
    <t>Bangkok</t>
  </si>
  <si>
    <t>$170.4 B</t>
  </si>
  <si>
    <t>~11,500,000</t>
  </si>
  <si>
    <t>Chiang Mai</t>
  </si>
  <si>
    <t>$8.3 B</t>
  </si>
  <si>
    <t>~920,000</t>
  </si>
  <si>
    <t>Hat Yai</t>
  </si>
  <si>
    <t>$7.9 B</t>
  </si>
  <si>
    <t>~560,000</t>
  </si>
  <si>
    <t>Khon Kaen</t>
  </si>
  <si>
    <t>$7.1 B</t>
  </si>
  <si>
    <t>~520,000</t>
  </si>
  <si>
    <t>Nakhon Ratchasima</t>
  </si>
  <si>
    <t>$10.1 B</t>
  </si>
  <si>
    <t>~680,000</t>
  </si>
  <si>
    <t>Vietnam</t>
  </si>
  <si>
    <t>Ha Noi</t>
  </si>
  <si>
    <t>$53.1 B</t>
  </si>
  <si>
    <t>~7,600,000</t>
  </si>
  <si>
    <t>Ho Chi Minh</t>
  </si>
  <si>
    <t>$69.4 B</t>
  </si>
  <si>
    <t>~9,300,000</t>
  </si>
  <si>
    <t>administrative area</t>
  </si>
  <si>
    <r>
      <rPr>
        <sz val="10"/>
        <color rgb="FF1F1F1F"/>
        <rFont val="Arial"/>
        <charset val="134"/>
      </rPr>
      <t>GDP per capita</t>
    </r>
    <r>
      <rPr>
        <sz val="10"/>
        <color rgb="FF1F1F1F"/>
        <rFont val="宋体"/>
        <charset val="134"/>
      </rPr>
      <t>（</t>
    </r>
    <r>
      <rPr>
        <sz val="10"/>
        <color rgb="FF1F1F1F"/>
        <rFont val="Arial"/>
        <charset val="134"/>
      </rPr>
      <t>2024/</t>
    </r>
    <r>
      <rPr>
        <sz val="10"/>
        <color rgb="FF1F1F1F"/>
        <rFont val="宋体"/>
        <charset val="134"/>
      </rPr>
      <t>$</t>
    </r>
  </si>
  <si>
    <t>Total GDP（2024）</t>
  </si>
  <si>
    <t>road length</t>
  </si>
  <si>
    <t>~21,800,000</t>
  </si>
  <si>
    <t>$92.8 B</t>
  </si>
  <si>
    <t>$57.0 B</t>
  </si>
  <si>
    <t>Manila City</t>
  </si>
  <si>
    <t>$21.3 B</t>
  </si>
  <si>
    <t>5,230 km</t>
  </si>
  <si>
    <t>urban area</t>
  </si>
  <si>
    <t>Road network length</t>
  </si>
  <si>
    <t>Road density</t>
  </si>
  <si>
    <t>Registered cars</t>
  </si>
  <si>
    <t>Motorcycle ownership</t>
  </si>
  <si>
    <t>Public transport supply</t>
  </si>
  <si>
    <t>Employment density</t>
  </si>
  <si>
    <t>job concentration</t>
  </si>
  <si>
    <t>GDP per capita</t>
  </si>
  <si>
    <t>Total GDP</t>
  </si>
  <si>
    <t>Public transport modal share</t>
  </si>
  <si>
    <t>Latest reference year</t>
  </si>
  <si>
    <t>Coverage score</t>
  </si>
  <si>
    <t>Boundary / notes</t>
  </si>
  <si>
    <t>Boundary: city proper.</t>
  </si>
  <si>
    <t>Boundary: special capital region / province-equivalent.</t>
  </si>
  <si>
    <t>Boundary: city proper. Includes pre-2024 values where newer city-level series were not readily citable.</t>
  </si>
  <si>
    <t xml:space="preserve"> </t>
  </si>
  <si>
    <t>Boundary: local authority area / municipal council area. Includes pre-2024 values where newer city-level series were not readily citable.</t>
  </si>
  <si>
    <t>Boundary: city / municipality (secondary source). Includes pre-2024 values where newer city-level series were not readily citable.</t>
  </si>
  <si>
    <t>Boundary: federal territory / city.</t>
  </si>
  <si>
    <t>Boundary: local authority area / city council area. Includes pre-2024 values where newer city-level series were not readily citable.</t>
  </si>
  <si>
    <t>Boundary: highly urbanized city.</t>
  </si>
  <si>
    <t>Manila</t>
  </si>
  <si>
    <t>Boundary: nation-city.</t>
  </si>
  <si>
    <t>Boundary: urban area series (secondary). Includes pre-2024 values where newer city-level series were not readily citable.</t>
  </si>
  <si>
    <t>Boundary: municipality / capital city.</t>
  </si>
  <si>
    <t>Boundary: municipality (pre-merger boundary unless noted). Includes pre-2024 values where newer city-level series were not readily citable.</t>
  </si>
  <si>
    <t>Country</t>
  </si>
  <si>
    <t>City</t>
  </si>
  <si>
    <t>Indicator</t>
  </si>
  <si>
    <t>Value</t>
  </si>
  <si>
    <t>Unit</t>
  </si>
  <si>
    <t>Reference year</t>
  </si>
  <si>
    <t>Source tier</t>
  </si>
  <si>
    <t>Source title</t>
  </si>
  <si>
    <t>Source URL</t>
  </si>
  <si>
    <t>persons</t>
  </si>
  <si>
    <t>Secondary</t>
  </si>
  <si>
    <t>Bandung metropolitan area (Wikipedia search snippet citing official BPS mid-2024 estimate)</t>
  </si>
  <si>
    <t>https://en.wikipedia.org/wiki/Bandung_metropolitan_area</t>
  </si>
  <si>
    <t>city proper; Mid-2024 estimate; secondary source cites official BPS estimate.</t>
  </si>
  <si>
    <t>Administrative area</t>
  </si>
  <si>
    <t>km²</t>
  </si>
  <si>
    <t>Primary</t>
  </si>
  <si>
    <t>Area by Subdistrict in the City of Bandung (Km2), 2024 - BPS Bandung Municipality</t>
  </si>
  <si>
    <t>https://bandungkota.bps.go.id/en/statistics-table/2/MzQjMg%3D%3D/area-by-subdistrict-in-th-city-of-bandung.html</t>
  </si>
  <si>
    <t>city proper; BPS Bandung Municipality, total city area.</t>
  </si>
  <si>
    <t>persons/km²</t>
  </si>
  <si>
    <t>Derived</t>
  </si>
  <si>
    <t>Bandung metropolitan area (Wikipedia search snippet citing official BPS mid-2024 estimate) + Area by Subdistrict in the City of Bandung (Km2), 2024 - BPS Bandung Municipality</t>
  </si>
  <si>
    <t>https://en.wikipedia.org/wiki/Bandung_metropolitan_area | https://bandungkota.bps.go.id/en/statistics-table/2/MzQjMg%3D%3D/area-by-subdistrict-in-th-city-of-bandung.html</t>
  </si>
  <si>
    <t>city proper; Derived in workbook as Population / Administrative area.</t>
  </si>
  <si>
    <t>Jakarta population recorded at 11.01 million - Berita Jakarta</t>
  </si>
  <si>
    <t>https://m.beritajakarta.id/en/read/61194/jakarta-population-recorded-at-1101-million</t>
  </si>
  <si>
    <t>special capital region / province-equivalent; First semester 2025 population reported by Jakarta official media.</t>
  </si>
  <si>
    <t>Tentang Jakarta - Pemerintah Provinsi DKI Jakarta</t>
  </si>
  <si>
    <t>https://www.jakarta.go.id/tentang-jakarta</t>
  </si>
  <si>
    <t>special capital region / province-equivalent; Land area reported by Jakarta provincial government.</t>
  </si>
  <si>
    <t>Jakarta population recorded at 11.01 million - Berita Jakarta + Tentang Jakarta - Pemerintah Provinsi DKI Jakarta</t>
  </si>
  <si>
    <t>https://m.beritajakarta.id/en/read/61194/jakarta-population-recorded-at-1101-million | https://www.jakarta.go.id/tentang-jakarta</t>
  </si>
  <si>
    <t>special capital region / province-equivalent; Derived in workbook as Population / Administrative area.</t>
  </si>
  <si>
    <t>Medan (Wikipedia search snippet citing BPS Kota Medan Dalam Angka 2025)</t>
  </si>
  <si>
    <t>https://en.wikipedia.org/wiki/Medan</t>
  </si>
  <si>
    <t>city proper; Official mid-2024 estimate cited in secondary source.</t>
  </si>
  <si>
    <t>city proper; City area from BPS-cited secondary source.</t>
  </si>
  <si>
    <t>Medan (Wikipedia search snippet citing BPS Kota Medan Dalam Angka 2025) + Medan (Wikipedia search snippet citing BPS Kota Medan Dalam Angka 2025)</t>
  </si>
  <si>
    <t>https://en.wikipedia.org/wiki/Medan | https://en.wikipedia.org/wiki/Medan</t>
  </si>
  <si>
    <t>Palembang (Wikipedia search snippet citing official mid-2024 estimate)</t>
  </si>
  <si>
    <t>https://en.wikipedia.org/wiki/Palembang</t>
  </si>
  <si>
    <t>Total Area by Regency/Municipality (Km2), 2024 - BPS Sumatera Selatan</t>
  </si>
  <si>
    <t>https://sumsel.bps.go.id/en/statistics-table/2/MjAxIzI%3D/luas-wilayah</t>
  </si>
  <si>
    <t>city proper; BPS Sumatera Selatan, 2024 area table.</t>
  </si>
  <si>
    <t>Palembang (Wikipedia search snippet citing official mid-2024 estimate) + Total Area by Regency/Municipality (Km2), 2024 - BPS Sumatera Selatan</t>
  </si>
  <si>
    <t>https://en.wikipedia.org/wiki/Palembang | https://sumsel.bps.go.id/en/statistics-table/2/MjAxIzI%3D/luas-wilayah</t>
  </si>
  <si>
    <t>Surabaya (Wikipedia search snippet citing official mid-2024 estimate)</t>
  </si>
  <si>
    <t>https://en.wikipedia.org/wiki/Surabaya</t>
  </si>
  <si>
    <t>Luas Daerah Menurut Kabupaten/Kota di Provinsi Jawa Timur, 2025 - BPS Jawa Timur</t>
  </si>
  <si>
    <t>https://jatim.bps.go.id/en/statistics-table/3/VUZwV01tSlpPVlpsWlRKbmMxcFhhSGhEVjFoUFFUMDkjMw%3D%3D/luas-daerah-dan-jumlah-pulau-menurut-kabupaten-kota-di-provinsi-jawa-timur--2024.html</t>
  </si>
  <si>
    <t>city proper; BPS Jawa Timur 2025 area table.</t>
  </si>
  <si>
    <t>Surabaya (Wikipedia search snippet citing official mid-2024 estimate) + Luas Daerah Menurut Kabupaten/Kota di Provinsi Jawa Timur, 2025 - BPS Jawa Timur</t>
  </si>
  <si>
    <t>https://en.wikipedia.org/wiki/Surabaya | https://jatim.bps.go.id/en/statistics-table/3/VUZwV01tSlpPVlpsWlRKbmMxcFhhSGhEVjFoUFFUMDkjMw%3D%3D/luas-daerah-dan-jumlah-pulau-menurut-kabupaten-kota-di-provinsi-jawa-timur--2024.html</t>
  </si>
  <si>
    <t>George Town, Penang (Wikipedia; 2020 population and area)</t>
  </si>
  <si>
    <t>https://en.wikipedia.org/wiki/George_Town,_Penang</t>
  </si>
  <si>
    <t>city proper; 2020 city proper population.</t>
  </si>
  <si>
    <t>city proper; City proper area.</t>
  </si>
  <si>
    <t>George Town, Penang (Wikipedia; 2020 population and area) + George Town, Penang (Wikipedia; 2020 population and area)</t>
  </si>
  <si>
    <t>https://en.wikipedia.org/wiki/George_Town,_Penang | https://en.wikipedia.org/wiki/George_Town,_Penang</t>
  </si>
  <si>
    <t>Ipoh (Wikipedia; 2020 population and area)</t>
  </si>
  <si>
    <t>https://en.wikipedia.org/wiki/Ipoh</t>
  </si>
  <si>
    <t>city proper; 2020 city population.</t>
  </si>
  <si>
    <t>city proper; City area.</t>
  </si>
  <si>
    <t>Ipoh (Wikipedia; 2020 population and area) + Ipoh (Wikipedia; 2020 population and area)</t>
  </si>
  <si>
    <t>https://en.wikipedia.org/wiki/Ipoh | https://en.wikipedia.org/wiki/Ipoh</t>
  </si>
  <si>
    <t>Johor Bahru (Wikipedia; 2020 population and area)</t>
  </si>
  <si>
    <t>https://en.wikipedia.org/wiki/Johor_Bahru</t>
  </si>
  <si>
    <t>Johor Bahru (Wikipedia; 2020 population and area) + Johor Bahru (Wikipedia; 2020 population and area)</t>
  </si>
  <si>
    <t>https://en.wikipedia.org/wiki/Johor_Bahru | https://en.wikipedia.org/wiki/Johor_Bahru</t>
  </si>
  <si>
    <t>Key Findings Population and Housing Census of Malaysia 2020: Administrative District - DOSM</t>
  </si>
  <si>
    <t>https://www.dosm.gov.my/portal-main/release-content/key-findings-population-and-housing-census-of-malaysia-2020-administrative-district</t>
  </si>
  <si>
    <t>local authority area / municipal council area; Kajang Municipal Council / local authority population from DOSM census release.</t>
  </si>
  <si>
    <t>Kajang (Wikipedia; local authority area)</t>
  </si>
  <si>
    <t>https://en.wikipedia.org/wiki/Kajang</t>
  </si>
  <si>
    <t>local authority area / municipal council area; Local authority area from secondary source.</t>
  </si>
  <si>
    <t>Key Findings Population and Housing Census of Malaysia 2020: Administrative District - DOSM + Kajang (Wikipedia; local authority area)</t>
  </si>
  <si>
    <t>https://www.dosm.gov.my/portal-main/release-content/key-findings-population-and-housing-census-of-malaysia-2020-administrative-district | https://en.wikipedia.org/wiki/Kajang</t>
  </si>
  <si>
    <t>local authority area / municipal council area; Derived in workbook as Population / Administrative area.</t>
  </si>
  <si>
    <t>Kota Bharu (Wikipedia / city summary)</t>
  </si>
  <si>
    <t>https://en.wikipedia.org/wiki/Kota_Bharu</t>
  </si>
  <si>
    <t>city / municipality (secondary source); Secondary source; city/municipality figure.</t>
  </si>
  <si>
    <t>city / municipality (secondary source); Secondary source.</t>
  </si>
  <si>
    <t>Kota Bharu (Wikipedia / city summary) + Kota Bharu (Wikipedia / city summary)</t>
  </si>
  <si>
    <t>https://en.wikipedia.org/wiki/Kota_Bharu | https://en.wikipedia.org/wiki/Kota_Bharu</t>
  </si>
  <si>
    <t>city / municipality (secondary source); Derived in workbook as Population / Administrative area.</t>
  </si>
  <si>
    <t>W.P. Kuala Lumpur - The Population of Malaysia - OpenDOSM</t>
  </si>
  <si>
    <t>https://open.dosm.gov.my/dashboard/population/kul</t>
  </si>
  <si>
    <t>federal territory / city; OpenDOSM dashboard reports total population (2024) ~2.1 million.</t>
  </si>
  <si>
    <t>Kuala Lumpur (Wikipedia; area 243 km²)</t>
  </si>
  <si>
    <t>https://en.wikipedia.org/wiki/Kuala_Lumpur</t>
  </si>
  <si>
    <t>federal territory / city; Federal territory area.</t>
  </si>
  <si>
    <t>RM</t>
  </si>
  <si>
    <t>Media Statement Gross Domestic Product (GDP) by State 2024 - DOSM</t>
  </si>
  <si>
    <t>https://www.statistics.gov.my/uploads/release-content/file_20250701120035.pdf</t>
  </si>
  <si>
    <t>federal territory / city; DOSM GDP by state 2024; applied here to the Federal Territory of Kuala Lumpur.</t>
  </si>
  <si>
    <t>RM/person</t>
  </si>
  <si>
    <t>Media Statement Gross Domestic Product (GDP) by State 2024 - DOSM + W.P. Kuala Lumpur - The Population of Malaysia - OpenDOSM</t>
  </si>
  <si>
    <t>https://www.statistics.gov.my/uploads/release-content/file_20250701120035.pdf | https://open.dosm.gov.my/dashboard/population/kul</t>
  </si>
  <si>
    <t>federal territory / city; Derived in workbook as Total GDP / Population. Underlying sources: Media Statement Gross Domestic Product (GDP) by State 2024 - DOSM | W.P. Kuala Lumpur - The Population of Malaysia - OpenDOSM. Derived in workbook from 2024 GDP ÷ 2024 population.</t>
  </si>
  <si>
    <t>W.P. Kuala Lumpur - The Population of Malaysia - OpenDOSM + Kuala Lumpur (Wikipedia; area 243 km²)</t>
  </si>
  <si>
    <t>https://open.dosm.gov.my/dashboard/population/kul | https://en.wikipedia.org/wiki/Kuala_Lumpur</t>
  </si>
  <si>
    <t>federal territory / city; Derived in workbook as Population / Administrative area.</t>
  </si>
  <si>
    <t>local authority area / city council area; Seberang Perai City Council / local authority population from DOSM census release.</t>
  </si>
  <si>
    <t>Seberang Perai (Wikipedia; local authority area)</t>
  </si>
  <si>
    <t>https://en.wikipedia.org/wiki/Seberang_Perai</t>
  </si>
  <si>
    <t>local authority area / city council area; Local authority area.</t>
  </si>
  <si>
    <t>Key Findings Population and Housing Census of Malaysia 2020: Administrative District - DOSM + Seberang Perai (Wikipedia; local authority area)</t>
  </si>
  <si>
    <t>https://www.dosm.gov.my/portal-main/release-content/key-findings-population-and-housing-census-of-malaysia-2020-administrative-district | https://en.wikipedia.org/wiki/Seberang_Perai</t>
  </si>
  <si>
    <t>local authority area / city council area; Derived in workbook as Population / Administrative area.</t>
  </si>
  <si>
    <t>Davao City (Wikipedia; 2024 census population and area)</t>
  </si>
  <si>
    <t>https://en.wikipedia.org/wiki/Davao_City</t>
  </si>
  <si>
    <t>highly urbanized city; 2024 census population in secondary source.</t>
  </si>
  <si>
    <t>highly urbanized city; Land area from secondary source.</t>
  </si>
  <si>
    <t>PHP</t>
  </si>
  <si>
    <t>Davao City leads regional economic growth at 7.9% in 2024 - City Government of Davao</t>
  </si>
  <si>
    <t>https://davaocity.gov.ph/economy/davao-city-leads-regional-economic-growth-at-7-9-in-2024/</t>
  </si>
  <si>
    <t>highly urbanized city; 2024 GDP from Davao City government citing PSA.</t>
  </si>
  <si>
    <t>PHP/person</t>
  </si>
  <si>
    <t>Davao City leads regional economic growth at 7.9% in 2024 - City Government of Davao + Davao City (Wikipedia; 2024 census population and area)</t>
  </si>
  <si>
    <t>https://davaocity.gov.ph/economy/davao-city-leads-regional-economic-growth-at-7-9-in-2024/ | https://en.wikipedia.org/wiki/Davao_City</t>
  </si>
  <si>
    <t>highly urbanized city; Derived in workbook as Total GDP / Population. Underlying sources: Davao City leads regional economic growth at 7.9% in 2024 - City Government of Davao | Davao City (Wikipedia; 2024 census population and area). Derived in workbook from 2024 GDP ÷ 2024 population.</t>
  </si>
  <si>
    <t>Davao City (Wikipedia; 2024 census population and area) + Davao City (Wikipedia; 2024 census population and area)</t>
  </si>
  <si>
    <t>https://en.wikipedia.org/wiki/Davao_City | https://en.wikipedia.org/wiki/Davao_City</t>
  </si>
  <si>
    <t>highly urbanized city; Derived in workbook as Population / Administrative area.</t>
  </si>
  <si>
    <t>Manila (Wikipedia; 2024 census population and area)</t>
  </si>
  <si>
    <t>https://en.wikipedia.org/wiki/Manila</t>
  </si>
  <si>
    <t>highly urbanized city; City area in secondary source.</t>
  </si>
  <si>
    <t>Eastern Samar tops fastest-growing economies in PH for 2024 - Philippine Information Agency</t>
  </si>
  <si>
    <t>https://pia.gov.ph/news/eastern-samar-tops-fastest-growing-economies-in-ph-for-2024-psa/</t>
  </si>
  <si>
    <t>highly urbanized city; 2024 GDP reported by Philippine Information Agency citing PSA.</t>
  </si>
  <si>
    <t>Eastern Samar tops fastest-growing economies in PH for 2024 - Philippine Information Agency + Manila (Wikipedia; 2024 census population and area)</t>
  </si>
  <si>
    <t>https://pia.gov.ph/news/eastern-samar-tops-fastest-growing-economies-in-ph-for-2024-psa/ | https://en.wikipedia.org/wiki/Manila</t>
  </si>
  <si>
    <t>highly urbanized city; Derived in workbook as Total GDP / Population. Underlying sources: Eastern Samar tops fastest-growing economies in PH for 2024 - Philippine Information Agency | Manila (Wikipedia; 2024 census population and area). Derived in workbook from 2024 GDP ÷ 2024 population.</t>
  </si>
  <si>
    <t>Manila (Wikipedia; 2024 census population and area) + Manila (Wikipedia; 2024 census population and area)</t>
  </si>
  <si>
    <t>https://en.wikipedia.org/wiki/Manila | https://en.wikipedia.org/wiki/Manila</t>
  </si>
  <si>
    <t>Population in Brief 2025 - National Population and Talent Division</t>
  </si>
  <si>
    <t>https://www.population.gov.sg/files/media-centre/publications/Population_in_Brief_2025.pdf</t>
  </si>
  <si>
    <t>nation-city; Total population as at June 2025.</t>
  </si>
  <si>
    <t>Singapore Environment Statistics - SingStat</t>
  </si>
  <si>
    <t>https://www.singstat.gov.sg/publications/reference/ebook/society/environment</t>
  </si>
  <si>
    <t>nation-city; Total land area at end-2025.</t>
  </si>
  <si>
    <t>SGD</t>
  </si>
  <si>
    <t>Singapore Economy 2024 infographic - SingStat</t>
  </si>
  <si>
    <t>https://www.singstat.gov.sg/modules/infographics/-/media/Files/visualising_data/infographics/Economy/singapore-economy04042025.pdf</t>
  </si>
  <si>
    <t>nation-city; Current market prices, 2024.</t>
  </si>
  <si>
    <t>SGD/person</t>
  </si>
  <si>
    <t>nation-city; Official 2024 GDP per capita.</t>
  </si>
  <si>
    <t>Population in Brief 2025 - National Population and Talent Division + Singapore Environment Statistics - SingStat</t>
  </si>
  <si>
    <t>https://www.population.gov.sg/files/media-centre/publications/Population_in_Brief_2025.pdf | https://www.singstat.gov.sg/publications/reference/ebook/society/environment</t>
  </si>
  <si>
    <t>nation-city; Derived in workbook as Population / Administrative area.</t>
  </si>
  <si>
    <t>List of municipalities in Thailand (urban population/area table)</t>
  </si>
  <si>
    <t>https://en.wikipedia.org/wiki/List_of_municipalities_in_Thailand</t>
  </si>
  <si>
    <t>urban area series (secondary); Urban population series (2021) from secondary table.</t>
  </si>
  <si>
    <t>urban area series (secondary); Urban area series (2021).</t>
  </si>
  <si>
    <t>List of municipalities in Thailand (urban population/area table) + List of municipalities in Thailand (urban population/area table)</t>
  </si>
  <si>
    <t>https://en.wikipedia.org/wiki/List_of_municipalities_in_Thailand | https://en.wikipedia.org/wiki/List_of_municipalities_in_Thailand</t>
  </si>
  <si>
    <t>urban area series (secondary); Derived in workbook as Population / Administrative area.</t>
  </si>
  <si>
    <t>Hanoi (Wikipedia; 2025 population and area)</t>
  </si>
  <si>
    <t>https://en.wikipedia.org/wiki/Hanoi</t>
  </si>
  <si>
    <t>municipality / capital city; 2025 population in secondary source.</t>
  </si>
  <si>
    <t>municipality / capital city; Municipal area in secondary source.</t>
  </si>
  <si>
    <t>VND</t>
  </si>
  <si>
    <t>Top five localities with the largest economies in 2024 - Vietnam News</t>
  </si>
  <si>
    <t>https://vietnamnews.vn/economy/1690605/top-five-localities-with-the-largest-economies-in-2024.html</t>
  </si>
  <si>
    <t>municipality / capital city; 2024 GRDP at current prices.</t>
  </si>
  <si>
    <t>VND/person</t>
  </si>
  <si>
    <t>municipality / capital city; 2024 GRDP per capita.</t>
  </si>
  <si>
    <t>Hanoi (Wikipedia; 2025 population and area) + Hanoi (Wikipedia; 2025 population and area)</t>
  </si>
  <si>
    <t>https://en.wikipedia.org/wiki/Hanoi | https://en.wikipedia.org/wiki/Hanoi</t>
  </si>
  <si>
    <t>municipality / capital city; Derived in workbook as Population / Administrative area.</t>
  </si>
  <si>
    <t>Ho Chi Minh City Population: Updated Statistics 2025 - Maison Office</t>
  </si>
  <si>
    <t>https://maisonoffice.vn/en/news/ho-chi-minh-city-population/</t>
  </si>
  <si>
    <t>municipality (pre-merger boundary unless noted); Population as of 1 Jun 2023.</t>
  </si>
  <si>
    <t>Ho Chi Minh City (Wikipedia; historical population/area table)</t>
  </si>
  <si>
    <t>https://en.wikipedia.org/wiki/Ho_Chi_Minh_City</t>
  </si>
  <si>
    <t>municipality (pre-merger boundary unless noted); Pre-merger municipal area in historical table.</t>
  </si>
  <si>
    <t>HCMC leads Vietnam in economic output ahead of administrative changes - VietNamNet</t>
  </si>
  <si>
    <t>https://vietnamnet.vn/en/hcm-city-leads-vietnam-in-economic-output-ahead-of-administrative-changes-2387480.html</t>
  </si>
  <si>
    <t>municipality (pre-merger boundary unless noted); 2024 GRDP at current prices.</t>
  </si>
  <si>
    <t>Ho Chi Minh City Population: Updated Statistics 2025 - Maison Office + Ho Chi Minh City (Wikipedia; historical population/area table)</t>
  </si>
  <si>
    <t>https://maisonoffice.vn/en/news/ho-chi-minh-city-population/ | https://en.wikipedia.org/wiki/Ho_Chi_Minh_City</t>
  </si>
  <si>
    <t>municipality (pre-merger boundary unless noted); Derived in workbook as Population / Administrative area.</t>
  </si>
  <si>
    <t>Source ID</t>
  </si>
  <si>
    <t>Title</t>
  </si>
  <si>
    <t>URL</t>
  </si>
  <si>
    <t>bandung_pop</t>
  </si>
  <si>
    <t>bandung_area</t>
  </si>
  <si>
    <t>jakarta_pop</t>
  </si>
  <si>
    <t>jakarta_area</t>
  </si>
  <si>
    <t>medan_poparea</t>
  </si>
  <si>
    <t>palembang_pop</t>
  </si>
  <si>
    <t>palembang_area</t>
  </si>
  <si>
    <t>surabaya_pop</t>
  </si>
  <si>
    <t>surabaya_area</t>
  </si>
  <si>
    <t>georgetown</t>
  </si>
  <si>
    <t>ipoh</t>
  </si>
  <si>
    <t>johor_bahru</t>
  </si>
  <si>
    <t>kajang_pop</t>
  </si>
  <si>
    <t>kajang_area</t>
  </si>
  <si>
    <t>kota_bharu</t>
  </si>
  <si>
    <t>kl_pop</t>
  </si>
  <si>
    <t>kl_area</t>
  </si>
  <si>
    <t>kl_gdp</t>
  </si>
  <si>
    <t>seberang_pop</t>
  </si>
  <si>
    <t>seberang_area</t>
  </si>
  <si>
    <t>davao_poparea</t>
  </si>
  <si>
    <t>davao_gdp</t>
  </si>
  <si>
    <t>manila_poparea</t>
  </si>
  <si>
    <t>manila_gdp</t>
  </si>
  <si>
    <t>sg_pop</t>
  </si>
  <si>
    <t>sg_area</t>
  </si>
  <si>
    <t>sg_gdp</t>
  </si>
  <si>
    <t>th_urban</t>
  </si>
  <si>
    <t>hanoi_poparea</t>
  </si>
  <si>
    <t>hanoi_gdp</t>
  </si>
  <si>
    <t>hcmc_pop</t>
  </si>
  <si>
    <t>hcmc_area</t>
  </si>
  <si>
    <t>hcmc_gdp</t>
  </si>
</sst>
</file>

<file path=xl/styles.xml><?xml version="1.0" encoding="utf-8"?>
<styleSheet xmlns="http://schemas.openxmlformats.org/spreadsheetml/2006/main">
  <numFmts count="7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%"/>
  </numFmts>
  <fonts count="31">
    <font>
      <sz val="11"/>
      <color theme="1"/>
      <name val="Calibri"/>
      <charset val="134"/>
      <scheme val="minor"/>
    </font>
    <font>
      <sz val="10"/>
      <color rgb="FF1F1F1F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rgb="FFFF0000"/>
      <name val="Arial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color rgb="FF1F1F1F"/>
      <name val="宋体"/>
      <charset val="134"/>
    </font>
    <font>
      <sz val="1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E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/>
      <top/>
      <bottom style="thin">
        <color rgb="FFD0D0D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23" fillId="23" borderId="3" applyNumberFormat="0" applyAlignment="0" applyProtection="0">
      <alignment vertical="center"/>
    </xf>
    <xf numFmtId="0" fontId="24" fillId="24" borderId="8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49"/>
    <xf numFmtId="3" fontId="1" fillId="0" borderId="0" xfId="0" applyNumberFormat="1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4" fontId="2" fillId="0" borderId="1" xfId="0" applyNumberFormat="1" applyFont="1" applyBorder="1" applyAlignment="1">
      <alignment vertical="center" wrapText="1" readingOrder="1"/>
    </xf>
    <xf numFmtId="4" fontId="3" fillId="0" borderId="1" xfId="0" applyNumberFormat="1" applyFont="1" applyBorder="1" applyAlignment="1">
      <alignment vertical="center" wrapText="1" readingOrder="1"/>
    </xf>
    <xf numFmtId="0" fontId="4" fillId="2" borderId="0" xfId="49" applyFont="1" applyFill="1" applyAlignment="1">
      <alignment horizontal="center" vertical="center"/>
    </xf>
    <xf numFmtId="0" fontId="0" fillId="3" borderId="2" xfId="49" applyFill="1" applyBorder="1" applyAlignment="1">
      <alignment vertical="center"/>
    </xf>
    <xf numFmtId="0" fontId="0" fillId="0" borderId="2" xfId="49" applyBorder="1" applyAlignment="1">
      <alignment vertical="center" wrapText="1"/>
    </xf>
    <xf numFmtId="0" fontId="0" fillId="4" borderId="2" xfId="49" applyFill="1" applyBorder="1" applyAlignment="1">
      <alignment vertical="center"/>
    </xf>
    <xf numFmtId="0" fontId="4" fillId="2" borderId="2" xfId="49" applyFont="1" applyFill="1" applyBorder="1" applyAlignment="1">
      <alignment horizontal="center" vertical="center" wrapText="1"/>
    </xf>
    <xf numFmtId="0" fontId="0" fillId="0" borderId="2" xfId="49" applyBorder="1" applyAlignment="1">
      <alignment vertical="center"/>
    </xf>
    <xf numFmtId="3" fontId="0" fillId="0" borderId="2" xfId="49" applyNumberFormat="1" applyBorder="1" applyAlignment="1">
      <alignment vertical="center"/>
    </xf>
    <xf numFmtId="4" fontId="0" fillId="0" borderId="2" xfId="49" applyNumberFormat="1" applyBorder="1" applyAlignment="1">
      <alignment vertical="center"/>
    </xf>
    <xf numFmtId="176" fontId="0" fillId="0" borderId="2" xfId="49" applyNumberFormat="1" applyBorder="1" applyAlignment="1">
      <alignment vertical="center"/>
    </xf>
    <xf numFmtId="0" fontId="0" fillId="0" borderId="2" xfId="49" applyBorder="1" applyAlignment="1">
      <alignment vertical="top" wrapText="1"/>
    </xf>
    <xf numFmtId="0" fontId="5" fillId="0" borderId="2" xfId="10" applyBorder="1" applyAlignment="1">
      <alignment vertical="center" wrapText="1"/>
    </xf>
    <xf numFmtId="0" fontId="6" fillId="5" borderId="0" xfId="49" applyFont="1" applyFill="1"/>
    <xf numFmtId="0" fontId="7" fillId="5" borderId="0" xfId="49" applyFont="1" applyFill="1"/>
    <xf numFmtId="3" fontId="0" fillId="3" borderId="2" xfId="49" applyNumberFormat="1" applyFill="1" applyBorder="1" applyAlignment="1">
      <alignment horizontal="center" vertical="center"/>
    </xf>
    <xf numFmtId="176" fontId="0" fillId="6" borderId="2" xfId="49" applyNumberFormat="1" applyFill="1" applyBorder="1"/>
    <xf numFmtId="0" fontId="0" fillId="7" borderId="2" xfId="49" applyFill="1" applyBorder="1"/>
    <xf numFmtId="4" fontId="0" fillId="4" borderId="2" xfId="49" applyNumberFormat="1" applyFill="1" applyBorder="1" applyAlignment="1">
      <alignment horizontal="center" vertical="center"/>
    </xf>
    <xf numFmtId="3" fontId="0" fillId="4" borderId="2" xfId="49" applyNumberFormat="1" applyFill="1" applyBorder="1" applyAlignment="1">
      <alignment horizontal="center" vertical="center"/>
    </xf>
    <xf numFmtId="4" fontId="0" fillId="3" borderId="2" xfId="49" applyNumberFormat="1" applyFill="1" applyBorder="1" applyAlignment="1">
      <alignment horizontal="center" vertical="center"/>
    </xf>
    <xf numFmtId="0" fontId="6" fillId="8" borderId="0" xfId="49" applyFont="1" applyFill="1"/>
    <xf numFmtId="0" fontId="7" fillId="8" borderId="0" xfId="49" applyFont="1" applyFill="1"/>
    <xf numFmtId="0" fontId="6" fillId="9" borderId="0" xfId="49" applyFont="1" applyFill="1"/>
    <xf numFmtId="0" fontId="7" fillId="9" borderId="0" xfId="49" applyFont="1" applyFill="1"/>
    <xf numFmtId="0" fontId="6" fillId="10" borderId="0" xfId="49" applyFont="1" applyFill="1"/>
    <xf numFmtId="0" fontId="7" fillId="10" borderId="0" xfId="49" applyFont="1" applyFill="1"/>
    <xf numFmtId="0" fontId="6" fillId="11" borderId="0" xfId="49" applyFont="1" applyFill="1"/>
    <xf numFmtId="0" fontId="7" fillId="11" borderId="0" xfId="49" applyFont="1" applyFill="1"/>
    <xf numFmtId="0" fontId="6" fillId="12" borderId="0" xfId="49" applyFont="1" applyFill="1"/>
    <xf numFmtId="0" fontId="7" fillId="12" borderId="0" xfId="49" applyFont="1" applyFill="1"/>
    <xf numFmtId="176" fontId="0" fillId="7" borderId="2" xfId="49" applyNumberFormat="1" applyFill="1" applyBorder="1"/>
    <xf numFmtId="3" fontId="0" fillId="7" borderId="2" xfId="49" applyNumberFormat="1" applyFill="1" applyBorder="1"/>
    <xf numFmtId="0" fontId="0" fillId="0" borderId="2" xfId="49" applyBorder="1"/>
    <xf numFmtId="177" fontId="0" fillId="0" borderId="2" xfId="49" applyNumberFormat="1" applyBorder="1"/>
    <xf numFmtId="0" fontId="8" fillId="0" borderId="0" xfId="49" applyFont="1" applyFill="1" applyBorder="1" applyAlignment="1">
      <alignment horizontal="center" vertical="center" wrapText="1"/>
    </xf>
    <xf numFmtId="0" fontId="9" fillId="13" borderId="0" xfId="49" applyFont="1" applyFill="1" applyBorder="1" applyAlignment="1">
      <alignment horizontal="center"/>
    </xf>
    <xf numFmtId="0" fontId="8" fillId="0" borderId="0" xfId="49" applyFont="1" applyFill="1" applyBorder="1" applyAlignment="1">
      <alignment horizontal="center"/>
    </xf>
    <xf numFmtId="0" fontId="10" fillId="13" borderId="0" xfId="0" applyFont="1" applyFill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24" fontId="3" fillId="0" borderId="1" xfId="0" applyNumberFormat="1" applyFont="1" applyBorder="1" applyAlignment="1">
      <alignment vertical="center" wrapText="1" readingOrder="1"/>
    </xf>
    <xf numFmtId="0" fontId="0" fillId="0" borderId="0" xfId="49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3" fontId="3" fillId="0" borderId="1" xfId="0" applyNumberFormat="1" applyFont="1" applyBorder="1" applyAlignment="1">
      <alignment horizontal="left" vertical="center" wrapText="1" readingOrder="1"/>
    </xf>
    <xf numFmtId="4" fontId="3" fillId="0" borderId="1" xfId="0" applyNumberFormat="1" applyFont="1" applyBorder="1" applyAlignment="1">
      <alignment horizontal="left" vertical="center" wrapText="1" readingOrder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edan | https://en.wikipedia.org/wiki/Meda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E34" sqref="E34"/>
    </sheetView>
  </sheetViews>
  <sheetFormatPr defaultColWidth="8.72727272727273" defaultRowHeight="14.5"/>
  <cols>
    <col min="1" max="13" width="14.7272727272727" style="48" customWidth="1"/>
    <col min="14" max="16384" width="8.72727272727273" style="48"/>
  </cols>
  <sheetData>
    <row r="1" ht="42.75" spans="1:1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</row>
    <row r="2" ht="14.75" spans="1:13">
      <c r="A2" s="50" t="s">
        <v>13</v>
      </c>
      <c r="B2" s="50" t="s">
        <v>14</v>
      </c>
      <c r="C2" s="51">
        <v>2528160</v>
      </c>
      <c r="D2" s="52">
        <v>15110.6</v>
      </c>
      <c r="E2" s="50">
        <v>167.31</v>
      </c>
      <c r="F2" s="51">
        <v>9580</v>
      </c>
      <c r="G2" s="50" t="s">
        <v>15</v>
      </c>
      <c r="H2" s="50">
        <v>24.22</v>
      </c>
      <c r="I2" s="50" t="s">
        <v>16</v>
      </c>
      <c r="J2" s="50">
        <v>652</v>
      </c>
      <c r="K2" s="50">
        <v>7.35</v>
      </c>
      <c r="L2" s="52">
        <v>1235.4</v>
      </c>
      <c r="M2" s="51">
        <v>2046</v>
      </c>
    </row>
    <row r="3" ht="14.75" spans="1:13">
      <c r="A3" s="50" t="s">
        <v>13</v>
      </c>
      <c r="B3" s="50" t="s">
        <v>17</v>
      </c>
      <c r="C3" s="51">
        <v>11010514</v>
      </c>
      <c r="D3" s="52">
        <v>16623.9</v>
      </c>
      <c r="E3" s="50">
        <v>662.33</v>
      </c>
      <c r="F3" s="51">
        <v>21350</v>
      </c>
      <c r="G3" s="50" t="s">
        <v>18</v>
      </c>
      <c r="H3" s="50">
        <v>240.69</v>
      </c>
      <c r="I3" s="50" t="s">
        <v>19</v>
      </c>
      <c r="J3" s="51">
        <v>1680</v>
      </c>
      <c r="K3" s="50">
        <v>10.42</v>
      </c>
      <c r="L3" s="52">
        <v>6952.1</v>
      </c>
      <c r="M3" s="51">
        <v>1583</v>
      </c>
    </row>
    <row r="4" ht="14.75" spans="1:13">
      <c r="A4" s="50" t="s">
        <v>13</v>
      </c>
      <c r="B4" s="50" t="s">
        <v>20</v>
      </c>
      <c r="C4" s="51">
        <v>2486283</v>
      </c>
      <c r="D4" s="52">
        <v>8816.9</v>
      </c>
      <c r="E4" s="50">
        <v>281.99</v>
      </c>
      <c r="F4" s="51">
        <v>7670</v>
      </c>
      <c r="G4" s="50" t="s">
        <v>21</v>
      </c>
      <c r="H4" s="50">
        <v>20.98</v>
      </c>
      <c r="I4" s="50" t="s">
        <v>22</v>
      </c>
      <c r="J4" s="50">
        <v>571</v>
      </c>
      <c r="K4" s="50">
        <v>11.24</v>
      </c>
      <c r="L4" s="52">
        <v>3178.6</v>
      </c>
      <c r="M4" s="50">
        <v>782</v>
      </c>
    </row>
    <row r="5" ht="14.75" spans="1:13">
      <c r="A5" s="50" t="s">
        <v>13</v>
      </c>
      <c r="B5" s="50" t="s">
        <v>23</v>
      </c>
      <c r="C5" s="51">
        <v>1801367</v>
      </c>
      <c r="D5" s="52">
        <v>5110</v>
      </c>
      <c r="E5" s="50">
        <v>353</v>
      </c>
      <c r="F5" s="51">
        <v>7720</v>
      </c>
      <c r="G5" s="50" t="s">
        <v>24</v>
      </c>
      <c r="H5" s="50">
        <v>14</v>
      </c>
      <c r="I5" s="50" t="s">
        <v>25</v>
      </c>
      <c r="J5" s="50">
        <v>544</v>
      </c>
      <c r="K5" s="50">
        <v>5</v>
      </c>
      <c r="L5" s="52">
        <v>1722</v>
      </c>
      <c r="M5" s="51">
        <v>1046</v>
      </c>
    </row>
    <row r="6" ht="14.75" spans="1:13">
      <c r="A6" s="50" t="s">
        <v>13</v>
      </c>
      <c r="B6" s="50" t="s">
        <v>26</v>
      </c>
      <c r="C6" s="51">
        <v>3018022</v>
      </c>
      <c r="D6" s="52">
        <v>8927.7</v>
      </c>
      <c r="E6" s="50">
        <v>338.05</v>
      </c>
      <c r="F6" s="51">
        <v>16450</v>
      </c>
      <c r="G6" s="50" t="s">
        <v>27</v>
      </c>
      <c r="H6" s="50">
        <v>51.24</v>
      </c>
      <c r="I6" s="50" t="s">
        <v>28</v>
      </c>
      <c r="J6" s="50">
        <v>944</v>
      </c>
      <c r="K6" s="50">
        <v>6.51</v>
      </c>
      <c r="L6" s="52">
        <v>2208.5</v>
      </c>
      <c r="M6" s="51">
        <v>1366</v>
      </c>
    </row>
    <row r="7" ht="14.75" spans="1:13">
      <c r="A7" s="50" t="s">
        <v>29</v>
      </c>
      <c r="B7" s="50" t="s">
        <v>30</v>
      </c>
      <c r="C7" s="51">
        <v>794313</v>
      </c>
      <c r="D7" s="52">
        <v>2595.8</v>
      </c>
      <c r="E7" s="50">
        <v>306</v>
      </c>
      <c r="F7" s="51">
        <v>32850</v>
      </c>
      <c r="G7" s="50" t="s">
        <v>31</v>
      </c>
      <c r="H7" s="50">
        <v>115.3</v>
      </c>
      <c r="I7" s="50" t="s">
        <v>32</v>
      </c>
      <c r="J7" s="51">
        <v>1447</v>
      </c>
      <c r="K7" s="50">
        <v>7.19</v>
      </c>
      <c r="L7" s="52">
        <v>1155</v>
      </c>
      <c r="M7" s="50">
        <v>687</v>
      </c>
    </row>
    <row r="8" ht="14.75" spans="1:13">
      <c r="A8" s="50" t="s">
        <v>29</v>
      </c>
      <c r="B8" s="50" t="s">
        <v>33</v>
      </c>
      <c r="C8" s="51">
        <v>759952</v>
      </c>
      <c r="D8" s="52">
        <v>1181.9</v>
      </c>
      <c r="E8" s="50">
        <v>643</v>
      </c>
      <c r="F8" s="51">
        <v>24340</v>
      </c>
      <c r="G8" s="50" t="s">
        <v>34</v>
      </c>
      <c r="H8" s="50">
        <v>81.7</v>
      </c>
      <c r="I8" s="50" t="s">
        <v>35</v>
      </c>
      <c r="J8" s="51">
        <v>1158</v>
      </c>
      <c r="K8" s="50">
        <v>3.42</v>
      </c>
      <c r="L8" s="52">
        <v>2216</v>
      </c>
      <c r="M8" s="50">
        <v>342</v>
      </c>
    </row>
    <row r="9" ht="14.75" spans="1:13">
      <c r="A9" s="50" t="s">
        <v>29</v>
      </c>
      <c r="B9" s="50" t="s">
        <v>36</v>
      </c>
      <c r="C9" s="51">
        <v>858118</v>
      </c>
      <c r="D9" s="52">
        <v>2300</v>
      </c>
      <c r="E9" s="50">
        <v>373</v>
      </c>
      <c r="F9" s="51">
        <v>39600</v>
      </c>
      <c r="G9" s="50" t="s">
        <v>37</v>
      </c>
      <c r="H9" s="50">
        <v>149.6</v>
      </c>
      <c r="I9" s="50" t="s">
        <v>38</v>
      </c>
      <c r="J9" s="51">
        <v>1689</v>
      </c>
      <c r="K9" s="50">
        <v>5</v>
      </c>
      <c r="L9" s="52">
        <v>1845</v>
      </c>
      <c r="M9" s="50">
        <v>465</v>
      </c>
    </row>
    <row r="10" ht="14.75" spans="1:13">
      <c r="A10" s="50" t="s">
        <v>29</v>
      </c>
      <c r="B10" s="50" t="s">
        <v>39</v>
      </c>
      <c r="C10" s="51">
        <v>1047356</v>
      </c>
      <c r="D10" s="52">
        <v>1330.8</v>
      </c>
      <c r="E10" s="50">
        <v>787</v>
      </c>
      <c r="F10" s="51">
        <v>13560</v>
      </c>
      <c r="G10" s="50" t="s">
        <v>40</v>
      </c>
      <c r="H10" s="50">
        <v>62.5</v>
      </c>
      <c r="I10" s="50" t="s">
        <v>41</v>
      </c>
      <c r="J10" s="51">
        <v>1671</v>
      </c>
      <c r="K10" s="50">
        <v>3.94</v>
      </c>
      <c r="L10" s="52">
        <v>3120</v>
      </c>
      <c r="M10" s="50">
        <v>335</v>
      </c>
    </row>
    <row r="11" ht="14.75" spans="1:13">
      <c r="A11" s="50" t="s">
        <v>29</v>
      </c>
      <c r="B11" s="50" t="s">
        <v>42</v>
      </c>
      <c r="C11" s="51">
        <v>568900</v>
      </c>
      <c r="D11" s="52">
        <v>4947</v>
      </c>
      <c r="E11" s="50">
        <v>115</v>
      </c>
      <c r="F11" s="51">
        <v>10810</v>
      </c>
      <c r="G11" s="50" t="s">
        <v>43</v>
      </c>
      <c r="H11" s="50">
        <v>27.3</v>
      </c>
      <c r="I11" s="50" t="s">
        <v>44</v>
      </c>
      <c r="J11" s="50">
        <v>808</v>
      </c>
      <c r="K11" s="50">
        <v>5.22</v>
      </c>
      <c r="L11" s="50">
        <v>625</v>
      </c>
      <c r="M11" s="50">
        <v>910</v>
      </c>
    </row>
    <row r="12" ht="14.75" spans="1:13">
      <c r="A12" s="50" t="s">
        <v>29</v>
      </c>
      <c r="B12" s="50" t="s">
        <v>45</v>
      </c>
      <c r="C12" s="51">
        <v>2075600</v>
      </c>
      <c r="D12" s="52">
        <v>8541.6</v>
      </c>
      <c r="E12" s="50">
        <v>243</v>
      </c>
      <c r="F12" s="51">
        <v>34200</v>
      </c>
      <c r="G12" s="50" t="s">
        <v>46</v>
      </c>
      <c r="H12" s="50">
        <v>312.4</v>
      </c>
      <c r="I12" s="50" t="s">
        <v>47</v>
      </c>
      <c r="J12" s="51">
        <v>1614</v>
      </c>
      <c r="K12" s="50">
        <v>14.81</v>
      </c>
      <c r="L12" s="52">
        <v>3654</v>
      </c>
      <c r="M12" s="50">
        <v>568</v>
      </c>
    </row>
    <row r="13" ht="14.75" spans="1:13">
      <c r="A13" s="50" t="s">
        <v>29</v>
      </c>
      <c r="B13" s="50" t="s">
        <v>48</v>
      </c>
      <c r="C13" s="51">
        <v>946092</v>
      </c>
      <c r="D13" s="52">
        <v>1265</v>
      </c>
      <c r="E13" s="50">
        <v>748</v>
      </c>
      <c r="F13" s="51">
        <v>27500</v>
      </c>
      <c r="G13" s="50" t="s">
        <v>31</v>
      </c>
      <c r="H13" s="50">
        <v>114.8</v>
      </c>
      <c r="I13" s="50" t="s">
        <v>49</v>
      </c>
      <c r="J13" s="51">
        <v>1321</v>
      </c>
      <c r="K13" s="50">
        <v>4</v>
      </c>
      <c r="L13" s="52">
        <v>3380</v>
      </c>
      <c r="M13" s="50">
        <v>279</v>
      </c>
    </row>
    <row r="14" ht="14.75" spans="1:13">
      <c r="A14" s="49" t="s">
        <v>50</v>
      </c>
      <c r="B14" s="49" t="s">
        <v>51</v>
      </c>
      <c r="C14" s="51">
        <v>1848947</v>
      </c>
      <c r="D14" s="50">
        <v>756.6</v>
      </c>
      <c r="E14" s="50">
        <v>2443.61</v>
      </c>
      <c r="F14" s="51">
        <v>5410</v>
      </c>
      <c r="G14" s="50" t="s">
        <v>52</v>
      </c>
      <c r="H14" s="50">
        <v>550</v>
      </c>
      <c r="I14" s="50" t="s">
        <v>53</v>
      </c>
      <c r="J14" s="50">
        <v>227</v>
      </c>
      <c r="K14" s="50">
        <v>0.62</v>
      </c>
      <c r="L14" s="52">
        <v>1520</v>
      </c>
      <c r="M14" s="51">
        <v>1216</v>
      </c>
    </row>
    <row r="15" ht="28.75" spans="1:13">
      <c r="A15" s="49" t="s">
        <v>50</v>
      </c>
      <c r="B15" s="49" t="s">
        <v>54</v>
      </c>
      <c r="C15" s="51">
        <v>14942000</v>
      </c>
      <c r="D15" s="52">
        <v>24117</v>
      </c>
      <c r="E15" s="50">
        <v>619.57</v>
      </c>
      <c r="F15" s="51">
        <v>10250</v>
      </c>
      <c r="G15" s="50" t="s">
        <v>55</v>
      </c>
      <c r="H15" s="52">
        <v>8880</v>
      </c>
      <c r="I15" s="50" t="s">
        <v>56</v>
      </c>
      <c r="J15" s="50">
        <v>241</v>
      </c>
      <c r="K15" s="50">
        <v>1.15</v>
      </c>
      <c r="L15" s="52">
        <v>5230</v>
      </c>
      <c r="M15" s="51">
        <v>2857</v>
      </c>
    </row>
    <row r="16" ht="14.75" spans="1:13">
      <c r="A16" s="50" t="s">
        <v>57</v>
      </c>
      <c r="B16" s="50" t="s">
        <v>57</v>
      </c>
      <c r="C16" s="51">
        <v>6111200</v>
      </c>
      <c r="D16" s="52">
        <v>8210.7</v>
      </c>
      <c r="E16" s="50">
        <v>744.3</v>
      </c>
      <c r="F16" s="51">
        <v>89400</v>
      </c>
      <c r="G16" s="50" t="s">
        <v>58</v>
      </c>
      <c r="H16" s="50">
        <v>715.5</v>
      </c>
      <c r="I16" s="50" t="s">
        <v>59</v>
      </c>
      <c r="J16" s="50">
        <v>163</v>
      </c>
      <c r="K16" s="50">
        <v>4.73</v>
      </c>
      <c r="L16" s="52">
        <v>3522</v>
      </c>
      <c r="M16" s="51">
        <v>1735</v>
      </c>
    </row>
    <row r="17" ht="14.75" spans="1:13">
      <c r="A17" s="50" t="s">
        <v>60</v>
      </c>
      <c r="B17" s="50" t="s">
        <v>61</v>
      </c>
      <c r="C17" s="51">
        <v>10539000</v>
      </c>
      <c r="D17" s="52">
        <v>6718</v>
      </c>
      <c r="E17" s="52">
        <v>1569</v>
      </c>
      <c r="F17" s="51">
        <v>19300</v>
      </c>
      <c r="G17" s="50" t="s">
        <v>62</v>
      </c>
      <c r="H17" s="52">
        <v>6000</v>
      </c>
      <c r="I17" s="50" t="s">
        <v>63</v>
      </c>
      <c r="J17" s="51">
        <v>1091</v>
      </c>
      <c r="K17" s="50">
        <v>3.09</v>
      </c>
      <c r="L17" s="52">
        <v>4850</v>
      </c>
      <c r="M17" s="51">
        <v>2173</v>
      </c>
    </row>
    <row r="18" ht="14.75" spans="1:13">
      <c r="A18" s="50" t="s">
        <v>60</v>
      </c>
      <c r="B18" s="50" t="s">
        <v>64</v>
      </c>
      <c r="C18" s="51">
        <v>1198000</v>
      </c>
      <c r="D18" s="52">
        <v>2958</v>
      </c>
      <c r="E18" s="50">
        <v>405</v>
      </c>
      <c r="F18" s="51">
        <v>6920</v>
      </c>
      <c r="G18" s="50" t="s">
        <v>65</v>
      </c>
      <c r="H18" s="50">
        <v>290</v>
      </c>
      <c r="I18" s="50" t="s">
        <v>66</v>
      </c>
      <c r="J18" s="50">
        <v>768</v>
      </c>
      <c r="K18" s="50">
        <v>5.05</v>
      </c>
      <c r="L18" s="52">
        <v>2045</v>
      </c>
      <c r="M18" s="50">
        <v>585</v>
      </c>
    </row>
    <row r="19" ht="14.75" spans="1:13">
      <c r="A19" s="50" t="s">
        <v>60</v>
      </c>
      <c r="B19" s="50" t="s">
        <v>67</v>
      </c>
      <c r="C19" s="51">
        <v>404044</v>
      </c>
      <c r="D19" s="50">
        <v>473.8</v>
      </c>
      <c r="E19" s="50">
        <v>852.8</v>
      </c>
      <c r="F19" s="51">
        <v>19550</v>
      </c>
      <c r="G19" s="50" t="s">
        <v>68</v>
      </c>
      <c r="H19" s="50">
        <v>276</v>
      </c>
      <c r="I19" s="50" t="s">
        <v>69</v>
      </c>
      <c r="J19" s="51">
        <v>1385</v>
      </c>
      <c r="K19" s="50">
        <v>1.94</v>
      </c>
      <c r="L19" s="52">
        <v>1655</v>
      </c>
      <c r="M19" s="50">
        <v>244</v>
      </c>
    </row>
    <row r="20" ht="14.75" spans="1:13">
      <c r="A20" s="50" t="s">
        <v>60</v>
      </c>
      <c r="B20" s="50" t="s">
        <v>70</v>
      </c>
      <c r="C20" s="51">
        <v>412758</v>
      </c>
      <c r="D20" s="50">
        <v>432.9</v>
      </c>
      <c r="E20" s="50">
        <v>953.4</v>
      </c>
      <c r="F20" s="51">
        <v>17120</v>
      </c>
      <c r="G20" s="50" t="s">
        <v>71</v>
      </c>
      <c r="H20" s="50">
        <v>248</v>
      </c>
      <c r="I20" s="50" t="s">
        <v>72</v>
      </c>
      <c r="J20" s="51">
        <v>1259</v>
      </c>
      <c r="K20" s="50">
        <v>1.76</v>
      </c>
      <c r="L20" s="52">
        <v>1680</v>
      </c>
      <c r="M20" s="50">
        <v>245</v>
      </c>
    </row>
    <row r="21" ht="28.75" spans="1:13">
      <c r="A21" s="50" t="s">
        <v>60</v>
      </c>
      <c r="B21" s="50" t="s">
        <v>73</v>
      </c>
      <c r="C21" s="51">
        <v>466098</v>
      </c>
      <c r="D21" s="50">
        <v>617</v>
      </c>
      <c r="E21" s="50">
        <v>756</v>
      </c>
      <c r="F21" s="51">
        <v>21850</v>
      </c>
      <c r="G21" s="50" t="s">
        <v>74</v>
      </c>
      <c r="H21" s="50">
        <v>353</v>
      </c>
      <c r="I21" s="50" t="s">
        <v>75</v>
      </c>
      <c r="J21" s="51">
        <v>1458</v>
      </c>
      <c r="K21" s="50">
        <v>1.7</v>
      </c>
      <c r="L21" s="52">
        <v>1288</v>
      </c>
      <c r="M21" s="50">
        <v>361</v>
      </c>
    </row>
    <row r="22" ht="14.75" spans="1:13">
      <c r="A22" s="50" t="s">
        <v>76</v>
      </c>
      <c r="B22" s="50" t="s">
        <v>77</v>
      </c>
      <c r="C22" s="51">
        <v>8807523</v>
      </c>
      <c r="D22" s="52">
        <v>2622.4</v>
      </c>
      <c r="E22" s="52">
        <v>3358.6</v>
      </c>
      <c r="F22" s="51">
        <v>6450</v>
      </c>
      <c r="G22" s="50" t="s">
        <v>78</v>
      </c>
      <c r="H22" s="52">
        <v>1250</v>
      </c>
      <c r="I22" s="50" t="s">
        <v>79</v>
      </c>
      <c r="J22" s="50">
        <v>863</v>
      </c>
      <c r="K22" s="50">
        <v>1.36</v>
      </c>
      <c r="L22" s="52">
        <v>4560</v>
      </c>
      <c r="M22" s="51">
        <v>1931</v>
      </c>
    </row>
    <row r="23" ht="14.75" spans="1:13">
      <c r="A23" s="50" t="s">
        <v>76</v>
      </c>
      <c r="B23" s="50" t="s">
        <v>80</v>
      </c>
      <c r="C23" s="51">
        <v>8899866</v>
      </c>
      <c r="D23" s="52">
        <v>4317.8</v>
      </c>
      <c r="E23" s="52">
        <v>2061.2</v>
      </c>
      <c r="F23" s="51">
        <v>7580</v>
      </c>
      <c r="G23" s="50" t="s">
        <v>81</v>
      </c>
      <c r="H23" s="52">
        <v>1640</v>
      </c>
      <c r="I23" s="50" t="s">
        <v>82</v>
      </c>
      <c r="J23" s="51">
        <v>1045</v>
      </c>
      <c r="K23" s="50">
        <v>2.14</v>
      </c>
      <c r="L23" s="52">
        <v>4420</v>
      </c>
      <c r="M23" s="51">
        <v>2013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45" zoomScaleNormal="145" workbookViewId="0">
      <selection activeCell="D13" sqref="D13"/>
    </sheetView>
  </sheetViews>
  <sheetFormatPr defaultColWidth="8.72727272727273" defaultRowHeight="13"/>
  <cols>
    <col min="1" max="2" width="8.72727272727273" style="42"/>
    <col min="3" max="3" width="14.5454545454545" style="42" customWidth="1"/>
    <col min="4" max="4" width="13.0909090909091" style="42" customWidth="1"/>
    <col min="5" max="5" width="8.72727272727273" style="42"/>
    <col min="6" max="6" width="9.18181818181818" style="42"/>
    <col min="7" max="7" width="8.72727272727273" style="42"/>
    <col min="8" max="8" width="9.18181818181818" style="42"/>
    <col min="9" max="9" width="11.4" style="42" customWidth="1"/>
    <col min="10" max="12" width="8.72727272727273" style="42"/>
    <col min="13" max="13" width="9.63636363636364" style="42"/>
    <col min="14" max="16384" width="8.72727272727273" style="42"/>
  </cols>
  <sheetData>
    <row r="1" s="40" customFormat="1" ht="50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84</v>
      </c>
      <c r="G1" s="1" t="s">
        <v>85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86</v>
      </c>
      <c r="M1" s="1" t="s">
        <v>12</v>
      </c>
    </row>
    <row r="2" spans="1:13">
      <c r="A2" s="2" t="s">
        <v>13</v>
      </c>
      <c r="B2" s="2" t="s">
        <v>14</v>
      </c>
      <c r="C2" s="2">
        <v>2528160</v>
      </c>
      <c r="D2" s="2">
        <v>15110.6</v>
      </c>
      <c r="E2" s="2">
        <v>167.31</v>
      </c>
      <c r="F2" s="2">
        <v>9580</v>
      </c>
      <c r="G2" s="2" t="s">
        <v>15</v>
      </c>
      <c r="H2" s="2">
        <v>24.22</v>
      </c>
      <c r="I2" s="2" t="s">
        <v>16</v>
      </c>
      <c r="J2" s="2">
        <v>652</v>
      </c>
      <c r="K2" s="2">
        <v>7.35</v>
      </c>
      <c r="L2" s="2">
        <v>1235.4</v>
      </c>
      <c r="M2" s="2">
        <v>15110.6</v>
      </c>
    </row>
    <row r="3" spans="1:13">
      <c r="A3" s="2" t="s">
        <v>13</v>
      </c>
      <c r="B3" s="2" t="s">
        <v>17</v>
      </c>
      <c r="C3" s="2">
        <v>11010514</v>
      </c>
      <c r="D3" s="2">
        <v>16623.9</v>
      </c>
      <c r="E3" s="2">
        <v>662.33</v>
      </c>
      <c r="F3" s="2">
        <v>21350</v>
      </c>
      <c r="G3" s="2" t="s">
        <v>18</v>
      </c>
      <c r="H3" s="2">
        <v>240.69</v>
      </c>
      <c r="I3" s="2" t="s">
        <v>87</v>
      </c>
      <c r="J3" s="2">
        <v>1979</v>
      </c>
      <c r="K3" s="2">
        <v>10.42</v>
      </c>
      <c r="L3" s="2">
        <v>6952.1</v>
      </c>
      <c r="M3" s="2">
        <v>16623.9</v>
      </c>
    </row>
    <row r="4" spans="1:13">
      <c r="A4" s="2" t="s">
        <v>13</v>
      </c>
      <c r="B4" s="2" t="s">
        <v>20</v>
      </c>
      <c r="C4" s="2">
        <v>2486283</v>
      </c>
      <c r="D4" s="2">
        <v>8816.9</v>
      </c>
      <c r="E4" s="2">
        <v>281.99</v>
      </c>
      <c r="F4" s="2">
        <v>7670</v>
      </c>
      <c r="G4" s="2" t="s">
        <v>21</v>
      </c>
      <c r="H4" s="2">
        <v>20.98</v>
      </c>
      <c r="I4" s="2" t="s">
        <v>22</v>
      </c>
      <c r="J4" s="2">
        <v>571</v>
      </c>
      <c r="K4" s="2">
        <v>11.24</v>
      </c>
      <c r="L4" s="2">
        <v>3178.6</v>
      </c>
      <c r="M4" s="2">
        <v>8816.9</v>
      </c>
    </row>
    <row r="5" ht="25" spans="1:13">
      <c r="A5" s="1" t="s">
        <v>13</v>
      </c>
      <c r="B5" s="1" t="s">
        <v>23</v>
      </c>
      <c r="C5" s="1">
        <v>1801367</v>
      </c>
      <c r="D5" s="1">
        <v>5110.1</v>
      </c>
      <c r="E5" s="1">
        <v>352.51</v>
      </c>
      <c r="F5" s="1">
        <v>7720</v>
      </c>
      <c r="G5" s="1" t="s">
        <v>24</v>
      </c>
      <c r="H5" s="1">
        <v>13.58</v>
      </c>
      <c r="I5" s="1" t="s">
        <v>25</v>
      </c>
      <c r="J5" s="1">
        <v>544</v>
      </c>
      <c r="K5" s="1">
        <v>4.88</v>
      </c>
      <c r="L5" s="1">
        <v>1722</v>
      </c>
      <c r="M5" s="1">
        <v>5110.1</v>
      </c>
    </row>
    <row r="6" spans="1:13">
      <c r="A6" s="2" t="s">
        <v>13</v>
      </c>
      <c r="B6" s="2" t="s">
        <v>26</v>
      </c>
      <c r="C6" s="2">
        <v>3018022</v>
      </c>
      <c r="D6" s="2">
        <v>8927.7</v>
      </c>
      <c r="E6" s="2">
        <v>338.05</v>
      </c>
      <c r="F6" s="2">
        <v>16450</v>
      </c>
      <c r="G6" s="2" t="s">
        <v>27</v>
      </c>
      <c r="H6" s="2">
        <v>51.24</v>
      </c>
      <c r="I6" s="2" t="s">
        <v>28</v>
      </c>
      <c r="J6" s="2">
        <v>944</v>
      </c>
      <c r="K6" s="2">
        <v>6.51</v>
      </c>
      <c r="L6" s="2">
        <v>2208.5</v>
      </c>
      <c r="M6" s="2">
        <v>8927.7</v>
      </c>
    </row>
    <row r="7" ht="25" spans="1:13">
      <c r="A7" s="2" t="s">
        <v>29</v>
      </c>
      <c r="B7" s="2" t="s">
        <v>30</v>
      </c>
      <c r="C7" s="2">
        <v>794313</v>
      </c>
      <c r="D7" s="2">
        <v>2595.8</v>
      </c>
      <c r="E7" s="2">
        <v>306</v>
      </c>
      <c r="F7" s="2">
        <v>15420</v>
      </c>
      <c r="G7" s="2" t="s">
        <v>31</v>
      </c>
      <c r="H7" s="2">
        <v>26.13</v>
      </c>
      <c r="I7" s="2" t="s">
        <v>32</v>
      </c>
      <c r="J7" s="2">
        <v>1447</v>
      </c>
      <c r="K7" s="2">
        <v>7.19</v>
      </c>
      <c r="L7" s="2">
        <v>1155</v>
      </c>
      <c r="M7" s="2">
        <v>2595.8</v>
      </c>
    </row>
    <row r="8" spans="1:13">
      <c r="A8" s="2" t="s">
        <v>29</v>
      </c>
      <c r="B8" s="2" t="s">
        <v>33</v>
      </c>
      <c r="C8" s="2">
        <v>759952</v>
      </c>
      <c r="D8" s="2">
        <v>1181.9</v>
      </c>
      <c r="E8" s="2">
        <v>643</v>
      </c>
      <c r="F8" s="2">
        <v>7460</v>
      </c>
      <c r="G8" s="2" t="s">
        <v>34</v>
      </c>
      <c r="H8" s="2">
        <v>18.54</v>
      </c>
      <c r="I8" s="2" t="s">
        <v>35</v>
      </c>
      <c r="J8" s="2">
        <v>1158</v>
      </c>
      <c r="K8" s="2">
        <v>3.42</v>
      </c>
      <c r="L8" s="2">
        <v>2216</v>
      </c>
      <c r="M8" s="2">
        <v>1181.9</v>
      </c>
    </row>
    <row r="9" ht="25" spans="1:13">
      <c r="A9" s="1" t="s">
        <v>29</v>
      </c>
      <c r="B9" s="1" t="s">
        <v>36</v>
      </c>
      <c r="C9" s="1">
        <v>858118</v>
      </c>
      <c r="D9" s="1">
        <v>2299.5</v>
      </c>
      <c r="E9" s="1">
        <v>373.18</v>
      </c>
      <c r="F9" s="1">
        <v>8520</v>
      </c>
      <c r="G9" s="1" t="s">
        <v>37</v>
      </c>
      <c r="H9" s="1">
        <v>33.98</v>
      </c>
      <c r="I9" s="1" t="s">
        <v>38</v>
      </c>
      <c r="J9" s="1">
        <v>1689</v>
      </c>
      <c r="K9" s="1">
        <v>4.82</v>
      </c>
      <c r="L9" s="1">
        <v>1845</v>
      </c>
      <c r="M9" s="1">
        <v>2299.5</v>
      </c>
    </row>
    <row r="10" spans="1:13">
      <c r="A10" s="2" t="s">
        <v>29</v>
      </c>
      <c r="B10" s="2" t="s">
        <v>39</v>
      </c>
      <c r="C10" s="2">
        <v>1047356</v>
      </c>
      <c r="D10" s="2">
        <v>1330.8</v>
      </c>
      <c r="E10" s="2">
        <v>787</v>
      </c>
      <c r="F10" s="2">
        <v>13560</v>
      </c>
      <c r="G10" s="2" t="s">
        <v>88</v>
      </c>
      <c r="H10" s="2">
        <v>92.84</v>
      </c>
      <c r="I10" s="2" t="s">
        <v>41</v>
      </c>
      <c r="J10" s="2">
        <v>1671</v>
      </c>
      <c r="K10" s="2">
        <v>3.94</v>
      </c>
      <c r="L10" s="2">
        <v>3120</v>
      </c>
      <c r="M10" s="2">
        <v>1330.8</v>
      </c>
    </row>
    <row r="11" ht="25" spans="1:13">
      <c r="A11" s="2" t="s">
        <v>29</v>
      </c>
      <c r="B11" s="2" t="s">
        <v>42</v>
      </c>
      <c r="C11" s="2">
        <v>568900</v>
      </c>
      <c r="D11" s="2">
        <v>4947</v>
      </c>
      <c r="E11" s="2">
        <v>115</v>
      </c>
      <c r="F11" s="2">
        <v>3610</v>
      </c>
      <c r="G11" s="2" t="s">
        <v>43</v>
      </c>
      <c r="H11" s="2">
        <v>6.17</v>
      </c>
      <c r="I11" s="2" t="s">
        <v>44</v>
      </c>
      <c r="J11" s="2">
        <v>808</v>
      </c>
      <c r="K11" s="2">
        <v>5.22</v>
      </c>
      <c r="L11" s="2">
        <v>625</v>
      </c>
      <c r="M11" s="2">
        <v>4947</v>
      </c>
    </row>
    <row r="12" ht="25" spans="1:13">
      <c r="A12" s="2" t="s">
        <v>29</v>
      </c>
      <c r="B12" s="2" t="s">
        <v>45</v>
      </c>
      <c r="C12" s="2">
        <v>2075600</v>
      </c>
      <c r="D12" s="2">
        <v>8541.6</v>
      </c>
      <c r="E12" s="2">
        <v>243</v>
      </c>
      <c r="F12" s="2">
        <v>29950</v>
      </c>
      <c r="G12" s="2" t="s">
        <v>89</v>
      </c>
      <c r="H12" s="2">
        <v>56.95</v>
      </c>
      <c r="I12" s="2" t="s">
        <v>47</v>
      </c>
      <c r="J12" s="2">
        <v>1614</v>
      </c>
      <c r="K12" s="2">
        <v>14.81</v>
      </c>
      <c r="L12" s="2">
        <v>3654</v>
      </c>
      <c r="M12" s="2">
        <v>8541.6</v>
      </c>
    </row>
    <row r="13" ht="25" spans="1:13">
      <c r="A13" s="1" t="s">
        <v>29</v>
      </c>
      <c r="B13" s="1" t="s">
        <v>48</v>
      </c>
      <c r="C13" s="1">
        <v>946092</v>
      </c>
      <c r="D13" s="1">
        <v>1264.8</v>
      </c>
      <c r="E13" s="1">
        <v>748</v>
      </c>
      <c r="F13" s="1">
        <v>15420</v>
      </c>
      <c r="G13" s="1" t="s">
        <v>31</v>
      </c>
      <c r="H13" s="1">
        <v>26.13</v>
      </c>
      <c r="I13" s="1" t="s">
        <v>49</v>
      </c>
      <c r="J13" s="1">
        <v>1321</v>
      </c>
      <c r="K13" s="1">
        <v>4.41</v>
      </c>
      <c r="L13" s="1">
        <v>3380</v>
      </c>
      <c r="M13" s="1">
        <v>1264.8</v>
      </c>
    </row>
    <row r="14" s="41" customFormat="1" ht="25.75" spans="1:13">
      <c r="A14" s="43" t="s">
        <v>50</v>
      </c>
      <c r="B14" s="43" t="s">
        <v>51</v>
      </c>
      <c r="C14" s="43">
        <v>1848947</v>
      </c>
      <c r="D14" s="43">
        <v>756.6</v>
      </c>
      <c r="E14" s="43">
        <v>2443.61</v>
      </c>
      <c r="F14" s="43">
        <v>4420</v>
      </c>
      <c r="G14" s="43" t="s">
        <v>52</v>
      </c>
      <c r="H14" s="43">
        <v>10</v>
      </c>
      <c r="I14" s="43" t="s">
        <v>53</v>
      </c>
      <c r="J14" s="43">
        <v>227</v>
      </c>
      <c r="K14" s="43">
        <v>0.61</v>
      </c>
      <c r="L14" s="43">
        <v>1520</v>
      </c>
      <c r="M14" s="43">
        <v>756.6</v>
      </c>
    </row>
    <row r="15" s="41" customFormat="1" ht="25.75" spans="1:13">
      <c r="A15" s="43" t="s">
        <v>50</v>
      </c>
      <c r="B15" s="43" t="s">
        <v>90</v>
      </c>
      <c r="C15" s="44">
        <v>14942000</v>
      </c>
      <c r="D15" s="44">
        <v>24117</v>
      </c>
      <c r="E15" s="43">
        <v>619.57</v>
      </c>
      <c r="F15" s="43">
        <v>10800</v>
      </c>
      <c r="G15" s="43" t="s">
        <v>91</v>
      </c>
      <c r="H15" s="43">
        <v>8.88</v>
      </c>
      <c r="I15" s="43" t="s">
        <v>75</v>
      </c>
      <c r="J15" s="43">
        <v>241</v>
      </c>
      <c r="K15" s="43">
        <v>1.15</v>
      </c>
      <c r="L15" s="43" t="s">
        <v>92</v>
      </c>
      <c r="M15" s="43">
        <v>2726</v>
      </c>
    </row>
    <row r="16" spans="1:13">
      <c r="A16" s="2" t="s">
        <v>57</v>
      </c>
      <c r="B16" s="2" t="s">
        <v>57</v>
      </c>
      <c r="C16" s="2">
        <v>6111200</v>
      </c>
      <c r="D16" s="2">
        <v>8210.7</v>
      </c>
      <c r="E16" s="2">
        <v>744.3</v>
      </c>
      <c r="F16" s="2">
        <v>89400</v>
      </c>
      <c r="G16" s="2" t="s">
        <v>58</v>
      </c>
      <c r="H16" s="2">
        <v>532.74</v>
      </c>
      <c r="I16" s="2" t="s">
        <v>59</v>
      </c>
      <c r="J16" s="2">
        <v>163</v>
      </c>
      <c r="K16" s="2">
        <v>4.7</v>
      </c>
      <c r="L16" s="2">
        <v>3522</v>
      </c>
      <c r="M16" s="2">
        <v>8210.7</v>
      </c>
    </row>
    <row r="17" spans="1:13">
      <c r="A17" s="1" t="s">
        <v>60</v>
      </c>
      <c r="B17" s="1" t="s">
        <v>61</v>
      </c>
      <c r="C17" s="1">
        <v>10539000</v>
      </c>
      <c r="D17" s="1">
        <v>6718.1</v>
      </c>
      <c r="E17" s="1">
        <v>1568.74</v>
      </c>
      <c r="F17" s="1">
        <v>19300</v>
      </c>
      <c r="G17" s="1" t="s">
        <v>62</v>
      </c>
      <c r="H17" s="1">
        <v>170.42</v>
      </c>
      <c r="I17" s="1" t="s">
        <v>63</v>
      </c>
      <c r="J17" s="1">
        <v>1091</v>
      </c>
      <c r="K17" s="1">
        <v>3.06</v>
      </c>
      <c r="L17" s="1">
        <v>4850</v>
      </c>
      <c r="M17" s="1">
        <v>6718.1</v>
      </c>
    </row>
    <row r="18" ht="25" spans="1:13">
      <c r="A18" s="2" t="s">
        <v>60</v>
      </c>
      <c r="B18" s="2" t="s">
        <v>64</v>
      </c>
      <c r="C18" s="2">
        <v>1198000</v>
      </c>
      <c r="D18" s="2">
        <v>2958</v>
      </c>
      <c r="E18" s="2">
        <v>405</v>
      </c>
      <c r="F18" s="2">
        <v>4580</v>
      </c>
      <c r="G18" s="2" t="s">
        <v>65</v>
      </c>
      <c r="H18" s="2">
        <v>8.31</v>
      </c>
      <c r="I18" s="2" t="s">
        <v>66</v>
      </c>
      <c r="J18" s="2">
        <v>768</v>
      </c>
      <c r="K18" s="2">
        <v>4.94</v>
      </c>
      <c r="L18" s="2">
        <v>2045</v>
      </c>
      <c r="M18" s="2">
        <v>2958</v>
      </c>
    </row>
    <row r="19" spans="1:13">
      <c r="A19" s="2" t="s">
        <v>60</v>
      </c>
      <c r="B19" s="2" t="s">
        <v>67</v>
      </c>
      <c r="C19" s="2">
        <v>404044</v>
      </c>
      <c r="D19" s="2">
        <v>473.8</v>
      </c>
      <c r="E19" s="2">
        <v>852.8</v>
      </c>
      <c r="F19" s="2">
        <v>5550</v>
      </c>
      <c r="G19" s="2" t="s">
        <v>68</v>
      </c>
      <c r="H19" s="2">
        <v>7.94</v>
      </c>
      <c r="I19" s="2" t="s">
        <v>69</v>
      </c>
      <c r="J19" s="2">
        <v>1385</v>
      </c>
      <c r="K19" s="2">
        <v>1.88</v>
      </c>
      <c r="L19" s="2">
        <v>1655</v>
      </c>
      <c r="M19" s="2">
        <v>473.8</v>
      </c>
    </row>
    <row r="20" ht="25" spans="1:13">
      <c r="A20" s="2" t="s">
        <v>60</v>
      </c>
      <c r="B20" s="2" t="s">
        <v>70</v>
      </c>
      <c r="C20" s="2">
        <v>412758</v>
      </c>
      <c r="D20" s="2">
        <v>432.9</v>
      </c>
      <c r="E20" s="2">
        <v>953.4</v>
      </c>
      <c r="F20" s="2">
        <v>4120</v>
      </c>
      <c r="G20" s="2" t="s">
        <v>71</v>
      </c>
      <c r="H20" s="2">
        <v>7.1</v>
      </c>
      <c r="I20" s="2" t="s">
        <v>72</v>
      </c>
      <c r="J20" s="2">
        <v>1259</v>
      </c>
      <c r="K20" s="2">
        <v>1.68</v>
      </c>
      <c r="L20" s="2">
        <v>1680</v>
      </c>
      <c r="M20" s="2">
        <v>432.9</v>
      </c>
    </row>
    <row r="21" ht="37.5" spans="1:13">
      <c r="A21" s="1" t="s">
        <v>60</v>
      </c>
      <c r="B21" s="1" t="s">
        <v>73</v>
      </c>
      <c r="C21" s="1">
        <v>466098</v>
      </c>
      <c r="D21" s="1">
        <v>616.9</v>
      </c>
      <c r="E21" s="1">
        <v>755.6</v>
      </c>
      <c r="F21" s="1">
        <v>3850</v>
      </c>
      <c r="G21" s="1" t="s">
        <v>74</v>
      </c>
      <c r="H21" s="1">
        <v>10.08</v>
      </c>
      <c r="I21" s="1" t="s">
        <v>75</v>
      </c>
      <c r="J21" s="1">
        <v>1458</v>
      </c>
      <c r="K21" s="1">
        <v>1.59</v>
      </c>
      <c r="L21" s="1">
        <v>1288</v>
      </c>
      <c r="M21" s="1">
        <v>616.9</v>
      </c>
    </row>
    <row r="22" spans="1:13">
      <c r="A22" s="2" t="s">
        <v>76</v>
      </c>
      <c r="B22" s="2" t="s">
        <v>77</v>
      </c>
      <c r="C22" s="2">
        <v>8807523</v>
      </c>
      <c r="D22" s="2">
        <v>2622.4</v>
      </c>
      <c r="E22" s="2">
        <v>3358.6</v>
      </c>
      <c r="F22" s="2">
        <v>6450</v>
      </c>
      <c r="G22" s="2" t="s">
        <v>78</v>
      </c>
      <c r="H22" s="2">
        <v>53.14</v>
      </c>
      <c r="I22" s="2" t="s">
        <v>79</v>
      </c>
      <c r="J22" s="2">
        <v>863</v>
      </c>
      <c r="K22" s="2">
        <v>1.34</v>
      </c>
      <c r="L22" s="2">
        <v>4560</v>
      </c>
      <c r="M22" s="2">
        <v>2622.4</v>
      </c>
    </row>
    <row r="23" ht="25.75" spans="1:13">
      <c r="A23" s="2" t="s">
        <v>76</v>
      </c>
      <c r="B23" s="2" t="s">
        <v>80</v>
      </c>
      <c r="C23" s="2">
        <v>8899866</v>
      </c>
      <c r="D23" s="2">
        <v>4317.8</v>
      </c>
      <c r="E23" s="2">
        <v>2061.2</v>
      </c>
      <c r="F23" s="2">
        <v>7580</v>
      </c>
      <c r="G23" s="2" t="s">
        <v>81</v>
      </c>
      <c r="H23" s="2">
        <v>69.42</v>
      </c>
      <c r="I23" s="2" t="s">
        <v>82</v>
      </c>
      <c r="J23" s="2">
        <v>1045</v>
      </c>
      <c r="K23" s="2">
        <v>2.13</v>
      </c>
      <c r="L23" s="2">
        <v>4420</v>
      </c>
      <c r="M23" s="2">
        <v>4317.8</v>
      </c>
    </row>
    <row r="24" ht="14.75" spans="1:1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ht="14.75" spans="1:13">
      <c r="A25" s="46"/>
      <c r="B25" s="46"/>
      <c r="E25" s="46"/>
      <c r="F25" s="47"/>
      <c r="G25" s="46"/>
      <c r="H25" s="46"/>
      <c r="I25" s="44"/>
      <c r="J25" s="46"/>
      <c r="K25" s="46"/>
      <c r="L25" s="46"/>
      <c r="M25" s="44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showGridLines="0" zoomScale="130" zoomScaleNormal="130" workbookViewId="0">
      <selection activeCell="R6" sqref="R6"/>
    </sheetView>
  </sheetViews>
  <sheetFormatPr defaultColWidth="9" defaultRowHeight="14.5"/>
  <cols>
    <col min="1" max="1" width="16" customWidth="1"/>
    <col min="2" max="2" width="18" customWidth="1"/>
    <col min="3" max="4" width="14" customWidth="1"/>
    <col min="5" max="5" width="18" customWidth="1"/>
    <col min="6" max="6" width="16" customWidth="1"/>
    <col min="7" max="7" width="15" customWidth="1"/>
    <col min="8" max="8" width="13" customWidth="1"/>
    <col min="9" max="9" width="14" customWidth="1"/>
    <col min="10" max="10" width="16" customWidth="1"/>
    <col min="11" max="11" width="18" customWidth="1"/>
    <col min="12" max="14" width="16" customWidth="1"/>
    <col min="15" max="16" width="18" customWidth="1"/>
    <col min="17" max="17" width="15" customWidth="1"/>
    <col min="18" max="18" width="12" customWidth="1"/>
    <col min="19" max="19" width="40" customWidth="1"/>
  </cols>
  <sheetData>
    <row r="1" ht="40" customHeight="1" spans="1:19">
      <c r="A1" s="11" t="s">
        <v>0</v>
      </c>
      <c r="B1" s="11" t="s">
        <v>1</v>
      </c>
      <c r="C1" s="11" t="s">
        <v>2</v>
      </c>
      <c r="D1" s="11" t="s">
        <v>3</v>
      </c>
      <c r="E1" s="11" t="s">
        <v>93</v>
      </c>
      <c r="F1" s="11" t="s">
        <v>83</v>
      </c>
      <c r="G1" s="11" t="s">
        <v>94</v>
      </c>
      <c r="H1" s="11" t="s">
        <v>95</v>
      </c>
      <c r="I1" s="11" t="s">
        <v>96</v>
      </c>
      <c r="J1" s="11" t="s">
        <v>97</v>
      </c>
      <c r="K1" s="11" t="s">
        <v>98</v>
      </c>
      <c r="L1" s="11" t="s">
        <v>99</v>
      </c>
      <c r="M1" s="11" t="s">
        <v>100</v>
      </c>
      <c r="N1" s="11" t="s">
        <v>101</v>
      </c>
      <c r="O1" s="11" t="s">
        <v>102</v>
      </c>
      <c r="P1" s="11" t="s">
        <v>103</v>
      </c>
      <c r="Q1" s="11" t="s">
        <v>104</v>
      </c>
      <c r="R1" s="11" t="s">
        <v>105</v>
      </c>
      <c r="S1" s="11" t="s">
        <v>106</v>
      </c>
    </row>
    <row r="2" ht="28" customHeight="1" spans="1:19">
      <c r="A2" s="18" t="s">
        <v>13</v>
      </c>
      <c r="B2" s="19" t="s">
        <v>14</v>
      </c>
      <c r="C2" s="20">
        <v>2528160</v>
      </c>
      <c r="D2" s="21">
        <f t="shared" ref="D2:D23" si="0">IFERROR(C2/F2,"")</f>
        <v>15110.6329567868</v>
      </c>
      <c r="E2" s="22"/>
      <c r="F2" s="23">
        <v>167.31</v>
      </c>
      <c r="G2" s="22"/>
      <c r="H2" s="22"/>
      <c r="I2" s="22"/>
      <c r="J2" s="22"/>
      <c r="K2" s="22"/>
      <c r="L2" s="22"/>
      <c r="M2" s="22"/>
      <c r="N2" s="36"/>
      <c r="O2" s="37"/>
      <c r="P2" s="22"/>
      <c r="Q2" s="38">
        <v>2024</v>
      </c>
      <c r="R2" s="39">
        <f t="shared" ref="R2:R23" si="1">COUNT(C2:P2)/18</f>
        <v>0.166666666666667</v>
      </c>
      <c r="S2" s="16" t="s">
        <v>107</v>
      </c>
    </row>
    <row r="3" ht="28" customHeight="1" spans="1:19">
      <c r="A3" s="18" t="s">
        <v>13</v>
      </c>
      <c r="B3" s="19" t="s">
        <v>17</v>
      </c>
      <c r="C3" s="24">
        <v>11010514</v>
      </c>
      <c r="D3" s="21">
        <f t="shared" si="0"/>
        <v>16623.9095315024</v>
      </c>
      <c r="E3" s="22"/>
      <c r="F3" s="23">
        <v>662.33</v>
      </c>
      <c r="G3" s="22"/>
      <c r="H3" s="22"/>
      <c r="I3" s="22"/>
      <c r="J3" s="22"/>
      <c r="K3" s="22"/>
      <c r="L3" s="22"/>
      <c r="M3" s="22"/>
      <c r="N3" s="36"/>
      <c r="O3" s="37"/>
      <c r="P3" s="22"/>
      <c r="Q3" s="38">
        <v>2025</v>
      </c>
      <c r="R3" s="39">
        <f t="shared" si="1"/>
        <v>0.166666666666667</v>
      </c>
      <c r="S3" s="16" t="s">
        <v>108</v>
      </c>
    </row>
    <row r="4" ht="28" customHeight="1" spans="1:19">
      <c r="A4" s="18" t="s">
        <v>13</v>
      </c>
      <c r="B4" s="19" t="s">
        <v>20</v>
      </c>
      <c r="C4" s="20">
        <v>2486283</v>
      </c>
      <c r="D4" s="21">
        <f t="shared" si="0"/>
        <v>8816.91903968226</v>
      </c>
      <c r="E4" s="22"/>
      <c r="F4" s="25">
        <v>281.99</v>
      </c>
      <c r="G4" s="22"/>
      <c r="H4" s="22"/>
      <c r="I4" s="22"/>
      <c r="J4" s="22"/>
      <c r="K4" s="22"/>
      <c r="L4" s="22"/>
      <c r="M4" s="22"/>
      <c r="N4" s="36"/>
      <c r="O4" s="37"/>
      <c r="P4" s="22"/>
      <c r="Q4" s="38">
        <v>2024</v>
      </c>
      <c r="R4" s="39">
        <f t="shared" si="1"/>
        <v>0.166666666666667</v>
      </c>
      <c r="S4" s="16" t="s">
        <v>107</v>
      </c>
    </row>
    <row r="5" ht="28" customHeight="1" spans="1:19">
      <c r="A5" s="18" t="s">
        <v>13</v>
      </c>
      <c r="B5" s="19" t="s">
        <v>23</v>
      </c>
      <c r="C5" s="20">
        <v>1801367</v>
      </c>
      <c r="D5" s="21">
        <f t="shared" si="0"/>
        <v>5110.1160250773</v>
      </c>
      <c r="E5" s="22"/>
      <c r="F5" s="23">
        <v>352.51</v>
      </c>
      <c r="G5" s="22"/>
      <c r="H5" s="22"/>
      <c r="I5" s="22"/>
      <c r="J5" s="22"/>
      <c r="K5" s="22"/>
      <c r="L5" s="22"/>
      <c r="M5" s="22"/>
      <c r="N5" s="36"/>
      <c r="O5" s="37"/>
      <c r="P5" s="22"/>
      <c r="Q5" s="38">
        <v>2024</v>
      </c>
      <c r="R5" s="39">
        <f t="shared" si="1"/>
        <v>0.166666666666667</v>
      </c>
      <c r="S5" s="16" t="s">
        <v>107</v>
      </c>
    </row>
    <row r="6" ht="28" customHeight="1" spans="1:19">
      <c r="A6" s="18" t="s">
        <v>13</v>
      </c>
      <c r="B6" s="19" t="s">
        <v>26</v>
      </c>
      <c r="C6" s="20">
        <v>3018022</v>
      </c>
      <c r="D6" s="21">
        <f t="shared" si="0"/>
        <v>8927.73850022186</v>
      </c>
      <c r="E6" s="22"/>
      <c r="F6" s="23">
        <v>338.05</v>
      </c>
      <c r="G6" s="22"/>
      <c r="H6" s="22"/>
      <c r="I6" s="22"/>
      <c r="J6" s="22"/>
      <c r="K6" s="22"/>
      <c r="L6" s="22"/>
      <c r="M6" s="22"/>
      <c r="N6" s="36"/>
      <c r="O6" s="37"/>
      <c r="P6" s="22"/>
      <c r="Q6" s="38">
        <v>2025</v>
      </c>
      <c r="R6" s="39">
        <f t="shared" si="1"/>
        <v>0.166666666666667</v>
      </c>
      <c r="S6" s="16" t="s">
        <v>107</v>
      </c>
    </row>
    <row r="7" ht="28" customHeight="1" spans="1:19">
      <c r="A7" s="26" t="s">
        <v>29</v>
      </c>
      <c r="B7" s="27" t="s">
        <v>30</v>
      </c>
      <c r="C7" s="20">
        <v>794313</v>
      </c>
      <c r="D7" s="21">
        <f t="shared" si="0"/>
        <v>2595.79411764706</v>
      </c>
      <c r="E7" s="22"/>
      <c r="F7" s="25">
        <v>306</v>
      </c>
      <c r="G7" s="22"/>
      <c r="H7" s="22"/>
      <c r="I7" s="22"/>
      <c r="J7" s="22"/>
      <c r="K7" s="22"/>
      <c r="L7" s="22"/>
      <c r="M7" s="22"/>
      <c r="N7" s="36"/>
      <c r="O7" s="37"/>
      <c r="P7" s="22"/>
      <c r="Q7" s="38">
        <v>2020</v>
      </c>
      <c r="R7" s="39">
        <f t="shared" si="1"/>
        <v>0.166666666666667</v>
      </c>
      <c r="S7" s="16" t="s">
        <v>109</v>
      </c>
    </row>
    <row r="8" ht="28" customHeight="1" spans="1:19">
      <c r="A8" s="26" t="s">
        <v>29</v>
      </c>
      <c r="B8" s="27" t="s">
        <v>33</v>
      </c>
      <c r="C8" s="20">
        <v>759952</v>
      </c>
      <c r="D8" s="21">
        <f t="shared" si="0"/>
        <v>1181.88491446345</v>
      </c>
      <c r="E8" s="22"/>
      <c r="F8" s="25">
        <v>643</v>
      </c>
      <c r="G8" s="22"/>
      <c r="H8" s="22"/>
      <c r="I8" s="22"/>
      <c r="J8" s="22"/>
      <c r="K8" s="22"/>
      <c r="L8" s="22"/>
      <c r="M8" s="22"/>
      <c r="N8" s="36"/>
      <c r="O8" s="37"/>
      <c r="P8" s="22"/>
      <c r="Q8" s="38">
        <v>2020</v>
      </c>
      <c r="R8" s="39">
        <f t="shared" si="1"/>
        <v>0.166666666666667</v>
      </c>
      <c r="S8" s="16" t="s">
        <v>109</v>
      </c>
    </row>
    <row r="9" ht="28" customHeight="1" spans="1:19">
      <c r="A9" s="26" t="s">
        <v>29</v>
      </c>
      <c r="B9" s="27" t="s">
        <v>36</v>
      </c>
      <c r="C9" s="20">
        <v>858118</v>
      </c>
      <c r="D9" s="21">
        <f t="shared" si="0"/>
        <v>2299.4747842864</v>
      </c>
      <c r="E9" s="22"/>
      <c r="F9" s="25">
        <v>373.18</v>
      </c>
      <c r="G9" s="22"/>
      <c r="H9" s="22"/>
      <c r="I9" s="22"/>
      <c r="J9" s="22"/>
      <c r="K9" s="22"/>
      <c r="L9" s="22"/>
      <c r="M9" s="22"/>
      <c r="N9" s="36"/>
      <c r="O9" s="37" t="s">
        <v>110</v>
      </c>
      <c r="P9" s="22"/>
      <c r="Q9" s="38">
        <v>2020</v>
      </c>
      <c r="R9" s="39">
        <f t="shared" si="1"/>
        <v>0.166666666666667</v>
      </c>
      <c r="S9" s="16" t="s">
        <v>109</v>
      </c>
    </row>
    <row r="10" ht="28" customHeight="1" spans="1:19">
      <c r="A10" s="26" t="s">
        <v>29</v>
      </c>
      <c r="B10" s="27" t="s">
        <v>39</v>
      </c>
      <c r="C10" s="24">
        <v>1047356</v>
      </c>
      <c r="D10" s="21">
        <f t="shared" si="0"/>
        <v>1330.8208386277</v>
      </c>
      <c r="E10" s="22"/>
      <c r="F10" s="25">
        <v>787</v>
      </c>
      <c r="G10" s="22"/>
      <c r="H10" s="22"/>
      <c r="I10" s="22"/>
      <c r="J10" s="22"/>
      <c r="K10" s="22"/>
      <c r="L10" s="22"/>
      <c r="M10" s="22"/>
      <c r="N10" s="36"/>
      <c r="O10" s="37"/>
      <c r="P10" s="22"/>
      <c r="Q10" s="38">
        <v>2020</v>
      </c>
      <c r="R10" s="39">
        <f t="shared" si="1"/>
        <v>0.166666666666667</v>
      </c>
      <c r="S10" s="16" t="s">
        <v>111</v>
      </c>
    </row>
    <row r="11" ht="28" customHeight="1" spans="1:19">
      <c r="A11" s="26" t="s">
        <v>29</v>
      </c>
      <c r="B11" s="27" t="s">
        <v>42</v>
      </c>
      <c r="C11" s="20">
        <v>568900</v>
      </c>
      <c r="D11" s="21">
        <f t="shared" si="0"/>
        <v>4946.95652173913</v>
      </c>
      <c r="E11" s="22"/>
      <c r="F11" s="25">
        <v>115</v>
      </c>
      <c r="G11" s="22"/>
      <c r="H11" s="22"/>
      <c r="I11" s="22"/>
      <c r="J11" s="22"/>
      <c r="K11" s="22"/>
      <c r="L11" s="22"/>
      <c r="M11" s="22"/>
      <c r="N11" s="36"/>
      <c r="O11" s="37"/>
      <c r="P11" s="22"/>
      <c r="Q11" s="38">
        <v>2022</v>
      </c>
      <c r="R11" s="39">
        <f t="shared" si="1"/>
        <v>0.166666666666667</v>
      </c>
      <c r="S11" s="16" t="s">
        <v>112</v>
      </c>
    </row>
    <row r="12" ht="28" customHeight="1" spans="1:19">
      <c r="A12" s="26" t="s">
        <v>29</v>
      </c>
      <c r="B12" s="27" t="s">
        <v>45</v>
      </c>
      <c r="C12" s="24">
        <v>2075600</v>
      </c>
      <c r="D12" s="21">
        <f t="shared" si="0"/>
        <v>8541.56378600823</v>
      </c>
      <c r="E12" s="22"/>
      <c r="F12" s="25">
        <v>243</v>
      </c>
      <c r="G12" s="22"/>
      <c r="H12" s="22"/>
      <c r="I12" s="22"/>
      <c r="J12" s="22"/>
      <c r="K12" s="22"/>
      <c r="L12" s="22"/>
      <c r="M12" s="22"/>
      <c r="N12" s="21">
        <f>IFERROR(O12/C12,"")</f>
        <v>128059.3563307</v>
      </c>
      <c r="O12" s="24">
        <v>265800000000</v>
      </c>
      <c r="P12" s="22"/>
      <c r="Q12" s="38">
        <v>2024</v>
      </c>
      <c r="R12" s="39">
        <f t="shared" si="1"/>
        <v>0.277777777777778</v>
      </c>
      <c r="S12" s="16" t="s">
        <v>113</v>
      </c>
    </row>
    <row r="13" ht="28" customHeight="1" spans="1:19">
      <c r="A13" s="26" t="s">
        <v>29</v>
      </c>
      <c r="B13" s="27" t="s">
        <v>48</v>
      </c>
      <c r="C13" s="24">
        <v>946092</v>
      </c>
      <c r="D13" s="21">
        <f t="shared" si="0"/>
        <v>1264.82887700535</v>
      </c>
      <c r="E13" s="22"/>
      <c r="F13" s="25">
        <v>748</v>
      </c>
      <c r="G13" s="22"/>
      <c r="H13" s="22"/>
      <c r="I13" s="22"/>
      <c r="J13" s="22"/>
      <c r="K13" s="22"/>
      <c r="L13" s="22"/>
      <c r="M13" s="22"/>
      <c r="N13" s="36"/>
      <c r="O13" s="37"/>
      <c r="P13" s="22"/>
      <c r="Q13" s="38">
        <v>2020</v>
      </c>
      <c r="R13" s="39">
        <f t="shared" si="1"/>
        <v>0.166666666666667</v>
      </c>
      <c r="S13" s="16" t="s">
        <v>114</v>
      </c>
    </row>
    <row r="14" ht="28" customHeight="1" spans="1:19">
      <c r="A14" s="28" t="s">
        <v>50</v>
      </c>
      <c r="B14" s="29" t="s">
        <v>51</v>
      </c>
      <c r="C14" s="20">
        <v>1848947</v>
      </c>
      <c r="D14" s="21">
        <f t="shared" si="0"/>
        <v>756.645700418643</v>
      </c>
      <c r="E14" s="22"/>
      <c r="F14" s="25">
        <v>2443.61</v>
      </c>
      <c r="G14" s="22"/>
      <c r="H14" s="22"/>
      <c r="I14" s="22"/>
      <c r="J14" s="22"/>
      <c r="K14" s="22"/>
      <c r="L14" s="22"/>
      <c r="M14" s="22"/>
      <c r="N14" s="21">
        <f>IFERROR(O14/C14,"")</f>
        <v>310836.384168935</v>
      </c>
      <c r="O14" s="24">
        <v>574720000000</v>
      </c>
      <c r="P14" s="22"/>
      <c r="Q14" s="38">
        <v>2024</v>
      </c>
      <c r="R14" s="39">
        <f t="shared" si="1"/>
        <v>0.277777777777778</v>
      </c>
      <c r="S14" s="16" t="s">
        <v>115</v>
      </c>
    </row>
    <row r="15" ht="28" customHeight="1" spans="1:19">
      <c r="A15" s="28" t="s">
        <v>50</v>
      </c>
      <c r="B15" s="29" t="s">
        <v>116</v>
      </c>
      <c r="C15" s="20">
        <v>1902590</v>
      </c>
      <c r="D15" s="21">
        <f t="shared" si="0"/>
        <v>44935.9943316013</v>
      </c>
      <c r="E15" s="22"/>
      <c r="F15" s="25">
        <v>42.34</v>
      </c>
      <c r="G15" s="22"/>
      <c r="H15" s="22"/>
      <c r="I15" s="22"/>
      <c r="J15" s="22"/>
      <c r="K15" s="22"/>
      <c r="L15" s="22"/>
      <c r="M15" s="22"/>
      <c r="N15" s="21">
        <f>IFERROR(O15/C15,"")</f>
        <v>546623.287203233</v>
      </c>
      <c r="O15" s="20">
        <v>1040000000000</v>
      </c>
      <c r="P15" s="22"/>
      <c r="Q15" s="38">
        <v>2024</v>
      </c>
      <c r="R15" s="39">
        <f t="shared" si="1"/>
        <v>0.277777777777778</v>
      </c>
      <c r="S15" s="16" t="s">
        <v>115</v>
      </c>
    </row>
    <row r="16" ht="28" customHeight="1" spans="1:19">
      <c r="A16" s="30" t="s">
        <v>57</v>
      </c>
      <c r="B16" s="31" t="s">
        <v>57</v>
      </c>
      <c r="C16" s="24">
        <v>6111200</v>
      </c>
      <c r="D16" s="21">
        <f t="shared" si="0"/>
        <v>8210.66774150208</v>
      </c>
      <c r="E16" s="22"/>
      <c r="F16" s="23">
        <v>744.3</v>
      </c>
      <c r="G16" s="22"/>
      <c r="H16" s="22"/>
      <c r="I16" s="22"/>
      <c r="J16" s="22"/>
      <c r="K16" s="22"/>
      <c r="L16" s="22"/>
      <c r="M16" s="22"/>
      <c r="N16" s="24">
        <v>121161</v>
      </c>
      <c r="O16" s="24">
        <v>765497500000</v>
      </c>
      <c r="P16" s="22"/>
      <c r="Q16" s="38">
        <v>2025</v>
      </c>
      <c r="R16" s="39">
        <f t="shared" si="1"/>
        <v>0.277777777777778</v>
      </c>
      <c r="S16" s="16" t="s">
        <v>117</v>
      </c>
    </row>
    <row r="17" ht="28" customHeight="1" spans="1:19">
      <c r="A17" s="32" t="s">
        <v>60</v>
      </c>
      <c r="B17" s="33" t="s">
        <v>61</v>
      </c>
      <c r="C17" s="20">
        <v>10539000</v>
      </c>
      <c r="D17" s="21">
        <f t="shared" si="0"/>
        <v>6718.13047413848</v>
      </c>
      <c r="E17" s="22"/>
      <c r="F17" s="25">
        <v>1568.74</v>
      </c>
      <c r="G17" s="22"/>
      <c r="H17" s="22"/>
      <c r="I17" s="22"/>
      <c r="J17" s="22"/>
      <c r="K17" s="22"/>
      <c r="L17" s="22"/>
      <c r="M17" s="22"/>
      <c r="N17" s="36"/>
      <c r="O17" s="37"/>
      <c r="P17" s="22"/>
      <c r="Q17" s="38">
        <v>2021</v>
      </c>
      <c r="R17" s="39">
        <f t="shared" si="1"/>
        <v>0.166666666666667</v>
      </c>
      <c r="S17" s="16" t="s">
        <v>118</v>
      </c>
    </row>
    <row r="18" ht="28" customHeight="1" spans="1:19">
      <c r="A18" s="32" t="s">
        <v>60</v>
      </c>
      <c r="B18" s="33" t="s">
        <v>64</v>
      </c>
      <c r="C18" s="20">
        <v>1198000</v>
      </c>
      <c r="D18" s="21">
        <f t="shared" si="0"/>
        <v>2958.02469135802</v>
      </c>
      <c r="E18" s="22"/>
      <c r="F18" s="25">
        <v>405</v>
      </c>
      <c r="G18" s="22"/>
      <c r="H18" s="22"/>
      <c r="I18" s="22"/>
      <c r="J18" s="22"/>
      <c r="K18" s="22"/>
      <c r="L18" s="22"/>
      <c r="M18" s="22"/>
      <c r="N18" s="36"/>
      <c r="O18" s="37"/>
      <c r="P18" s="22"/>
      <c r="Q18" s="38">
        <v>2021</v>
      </c>
      <c r="R18" s="39">
        <f t="shared" si="1"/>
        <v>0.166666666666667</v>
      </c>
      <c r="S18" s="16" t="s">
        <v>118</v>
      </c>
    </row>
    <row r="19" ht="28" customHeight="1" spans="1:19">
      <c r="A19" s="32" t="s">
        <v>60</v>
      </c>
      <c r="B19" s="33" t="s">
        <v>67</v>
      </c>
      <c r="C19" s="20">
        <v>404044</v>
      </c>
      <c r="D19" s="21">
        <f t="shared" si="0"/>
        <v>473.787400503755</v>
      </c>
      <c r="E19" s="22"/>
      <c r="F19" s="25">
        <v>852.796</v>
      </c>
      <c r="G19" s="22"/>
      <c r="H19" s="22"/>
      <c r="I19" s="22"/>
      <c r="J19" s="22"/>
      <c r="K19" s="22"/>
      <c r="L19" s="22"/>
      <c r="M19" s="22"/>
      <c r="N19" s="36"/>
      <c r="O19" s="37"/>
      <c r="P19" s="22"/>
      <c r="Q19" s="38">
        <v>2021</v>
      </c>
      <c r="R19" s="39">
        <f t="shared" si="1"/>
        <v>0.166666666666667</v>
      </c>
      <c r="S19" s="16" t="s">
        <v>118</v>
      </c>
    </row>
    <row r="20" ht="28" customHeight="1" spans="1:19">
      <c r="A20" s="32" t="s">
        <v>60</v>
      </c>
      <c r="B20" s="33" t="s">
        <v>70</v>
      </c>
      <c r="C20" s="20">
        <v>412758</v>
      </c>
      <c r="D20" s="21">
        <f t="shared" si="0"/>
        <v>432.932662051605</v>
      </c>
      <c r="E20" s="22"/>
      <c r="F20" s="25">
        <v>953.4</v>
      </c>
      <c r="G20" s="22"/>
      <c r="H20" s="22"/>
      <c r="I20" s="22"/>
      <c r="J20" s="22"/>
      <c r="K20" s="22"/>
      <c r="L20" s="22"/>
      <c r="M20" s="22"/>
      <c r="N20" s="36"/>
      <c r="O20" s="37"/>
      <c r="P20" s="22"/>
      <c r="Q20" s="38">
        <v>2021</v>
      </c>
      <c r="R20" s="39">
        <f t="shared" si="1"/>
        <v>0.166666666666667</v>
      </c>
      <c r="S20" s="16" t="s">
        <v>118</v>
      </c>
    </row>
    <row r="21" ht="28" customHeight="1" spans="1:19">
      <c r="A21" s="32" t="s">
        <v>60</v>
      </c>
      <c r="B21" s="33" t="s">
        <v>73</v>
      </c>
      <c r="C21" s="20">
        <v>466098</v>
      </c>
      <c r="D21" s="21">
        <f t="shared" si="0"/>
        <v>616.858125992589</v>
      </c>
      <c r="E21" s="22"/>
      <c r="F21" s="25">
        <v>755.6</v>
      </c>
      <c r="G21" s="22"/>
      <c r="H21" s="22"/>
      <c r="I21" s="22"/>
      <c r="J21" s="22"/>
      <c r="K21" s="22"/>
      <c r="L21" s="22"/>
      <c r="M21" s="22"/>
      <c r="N21" s="36"/>
      <c r="O21" s="37"/>
      <c r="P21" s="22"/>
      <c r="Q21" s="38">
        <v>2021</v>
      </c>
      <c r="R21" s="39">
        <f t="shared" si="1"/>
        <v>0.166666666666667</v>
      </c>
      <c r="S21" s="16" t="s">
        <v>118</v>
      </c>
    </row>
    <row r="22" ht="28" customHeight="1" spans="1:19">
      <c r="A22" s="34" t="s">
        <v>76</v>
      </c>
      <c r="B22" s="35" t="s">
        <v>77</v>
      </c>
      <c r="C22" s="20">
        <v>8807523</v>
      </c>
      <c r="D22" s="21">
        <f t="shared" si="0"/>
        <v>2622.37926517001</v>
      </c>
      <c r="E22" s="22"/>
      <c r="F22" s="25">
        <v>3358.6</v>
      </c>
      <c r="G22" s="22"/>
      <c r="H22" s="22"/>
      <c r="I22" s="22"/>
      <c r="J22" s="22"/>
      <c r="K22" s="22"/>
      <c r="L22" s="22"/>
      <c r="M22" s="22"/>
      <c r="N22" s="20">
        <v>163500000</v>
      </c>
      <c r="O22" s="20">
        <v>1430000000000000</v>
      </c>
      <c r="P22" s="22"/>
      <c r="Q22" s="38">
        <v>2025</v>
      </c>
      <c r="R22" s="39">
        <f t="shared" si="1"/>
        <v>0.277777777777778</v>
      </c>
      <c r="S22" s="16" t="s">
        <v>119</v>
      </c>
    </row>
    <row r="23" ht="28" customHeight="1" spans="1:19">
      <c r="A23" s="34" t="s">
        <v>76</v>
      </c>
      <c r="B23" s="35" t="s">
        <v>80</v>
      </c>
      <c r="C23" s="20">
        <v>8899866</v>
      </c>
      <c r="D23" s="21">
        <f t="shared" si="0"/>
        <v>4317.8080729672</v>
      </c>
      <c r="E23" s="22"/>
      <c r="F23" s="25">
        <v>2061.2</v>
      </c>
      <c r="G23" s="22"/>
      <c r="H23" s="22"/>
      <c r="I23" s="22"/>
      <c r="J23" s="22"/>
      <c r="K23" s="22"/>
      <c r="L23" s="22"/>
      <c r="M23" s="22"/>
      <c r="N23" s="37"/>
      <c r="O23" s="20">
        <v>1780000000000000</v>
      </c>
      <c r="P23" s="22"/>
      <c r="Q23" s="38">
        <v>2024</v>
      </c>
      <c r="R23" s="39">
        <f t="shared" si="1"/>
        <v>0.222222222222222</v>
      </c>
      <c r="S23" s="16" t="s">
        <v>120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showGridLines="0" workbookViewId="0">
      <selection activeCell="I11" sqref="I11"/>
    </sheetView>
  </sheetViews>
  <sheetFormatPr defaultColWidth="9" defaultRowHeight="14.5"/>
  <cols>
    <col min="1" max="1" width="14" customWidth="1"/>
    <col min="2" max="2" width="18" customWidth="1"/>
    <col min="3" max="3" width="20" customWidth="1"/>
    <col min="4" max="4" width="16" customWidth="1"/>
    <col min="5" max="6" width="14" customWidth="1"/>
    <col min="7" max="7" width="12" customWidth="1"/>
    <col min="8" max="8" width="36" customWidth="1"/>
    <col min="9" max="9" width="55" customWidth="1"/>
    <col min="10" max="10" width="62" customWidth="1"/>
  </cols>
  <sheetData>
    <row r="1" ht="30" customHeight="1" spans="1:10">
      <c r="A1" s="11" t="s">
        <v>121</v>
      </c>
      <c r="B1" s="11" t="s">
        <v>122</v>
      </c>
      <c r="C1" s="11" t="s">
        <v>123</v>
      </c>
      <c r="D1" s="11" t="s">
        <v>124</v>
      </c>
      <c r="E1" s="11" t="s">
        <v>125</v>
      </c>
      <c r="F1" s="11" t="s">
        <v>126</v>
      </c>
      <c r="G1" s="11" t="s">
        <v>127</v>
      </c>
      <c r="H1" s="11" t="s">
        <v>128</v>
      </c>
      <c r="I1" s="11" t="s">
        <v>129</v>
      </c>
      <c r="J1" s="11" t="s">
        <v>106</v>
      </c>
    </row>
    <row r="2" ht="34" customHeight="1" spans="1:10">
      <c r="A2" s="12" t="s">
        <v>13</v>
      </c>
      <c r="B2" s="12" t="s">
        <v>14</v>
      </c>
      <c r="C2" s="12" t="s">
        <v>2</v>
      </c>
      <c r="D2" s="13">
        <v>2528160</v>
      </c>
      <c r="E2" s="12" t="s">
        <v>130</v>
      </c>
      <c r="F2" s="12">
        <v>2024</v>
      </c>
      <c r="G2" s="12" t="s">
        <v>131</v>
      </c>
      <c r="H2" s="9" t="s">
        <v>132</v>
      </c>
      <c r="I2" s="9" t="s">
        <v>133</v>
      </c>
      <c r="J2" s="16" t="s">
        <v>134</v>
      </c>
    </row>
    <row r="3" ht="34" customHeight="1" spans="1:10">
      <c r="A3" s="12" t="s">
        <v>13</v>
      </c>
      <c r="B3" s="12" t="s">
        <v>14</v>
      </c>
      <c r="C3" s="12" t="s">
        <v>135</v>
      </c>
      <c r="D3" s="14">
        <v>167.31</v>
      </c>
      <c r="E3" s="12" t="s">
        <v>136</v>
      </c>
      <c r="F3" s="12">
        <v>2024</v>
      </c>
      <c r="G3" s="12" t="s">
        <v>137</v>
      </c>
      <c r="H3" s="9" t="s">
        <v>138</v>
      </c>
      <c r="I3" s="9" t="s">
        <v>139</v>
      </c>
      <c r="J3" s="16" t="s">
        <v>140</v>
      </c>
    </row>
    <row r="4" ht="34" customHeight="1" spans="1:10">
      <c r="A4" s="12" t="s">
        <v>13</v>
      </c>
      <c r="B4" s="12" t="s">
        <v>14</v>
      </c>
      <c r="C4" s="12" t="s">
        <v>3</v>
      </c>
      <c r="D4" s="15">
        <f>IFERROR(Summary_Wide!D2,"")</f>
        <v>15110.6329567868</v>
      </c>
      <c r="E4" s="12" t="s">
        <v>141</v>
      </c>
      <c r="F4" s="12">
        <v>2024</v>
      </c>
      <c r="G4" s="12" t="s">
        <v>142</v>
      </c>
      <c r="H4" s="9" t="s">
        <v>143</v>
      </c>
      <c r="I4" s="9" t="s">
        <v>144</v>
      </c>
      <c r="J4" s="16" t="s">
        <v>145</v>
      </c>
    </row>
    <row r="5" ht="34" customHeight="1" spans="1:10">
      <c r="A5" s="12" t="s">
        <v>13</v>
      </c>
      <c r="B5" s="12" t="s">
        <v>17</v>
      </c>
      <c r="C5" s="12" t="s">
        <v>2</v>
      </c>
      <c r="D5" s="13">
        <v>11010514</v>
      </c>
      <c r="E5" s="12" t="s">
        <v>130</v>
      </c>
      <c r="F5" s="12">
        <v>2025</v>
      </c>
      <c r="G5" s="12" t="s">
        <v>137</v>
      </c>
      <c r="H5" s="9" t="s">
        <v>146</v>
      </c>
      <c r="I5" s="9" t="s">
        <v>147</v>
      </c>
      <c r="J5" s="16" t="s">
        <v>148</v>
      </c>
    </row>
    <row r="6" ht="34" customHeight="1" spans="1:10">
      <c r="A6" s="12" t="s">
        <v>13</v>
      </c>
      <c r="B6" s="12" t="s">
        <v>17</v>
      </c>
      <c r="C6" s="12" t="s">
        <v>135</v>
      </c>
      <c r="D6" s="14">
        <v>662.33</v>
      </c>
      <c r="E6" s="12" t="s">
        <v>136</v>
      </c>
      <c r="F6" s="12">
        <v>2025</v>
      </c>
      <c r="G6" s="12" t="s">
        <v>137</v>
      </c>
      <c r="H6" s="9" t="s">
        <v>149</v>
      </c>
      <c r="I6" s="9" t="s">
        <v>150</v>
      </c>
      <c r="J6" s="16" t="s">
        <v>151</v>
      </c>
    </row>
    <row r="7" ht="34" customHeight="1" spans="1:10">
      <c r="A7" s="12" t="s">
        <v>13</v>
      </c>
      <c r="B7" s="12" t="s">
        <v>17</v>
      </c>
      <c r="C7" s="12" t="s">
        <v>3</v>
      </c>
      <c r="D7" s="15">
        <f>IFERROR(Summary_Wide!D3,"")</f>
        <v>16623.9095315024</v>
      </c>
      <c r="E7" s="12" t="s">
        <v>141</v>
      </c>
      <c r="F7" s="12">
        <v>2025</v>
      </c>
      <c r="G7" s="12" t="s">
        <v>142</v>
      </c>
      <c r="H7" s="9" t="s">
        <v>152</v>
      </c>
      <c r="I7" s="9" t="s">
        <v>153</v>
      </c>
      <c r="J7" s="16" t="s">
        <v>154</v>
      </c>
    </row>
    <row r="8" ht="34" customHeight="1" spans="1:10">
      <c r="A8" s="12" t="s">
        <v>13</v>
      </c>
      <c r="B8" s="12" t="s">
        <v>20</v>
      </c>
      <c r="C8" s="12" t="s">
        <v>2</v>
      </c>
      <c r="D8" s="13">
        <v>2486283</v>
      </c>
      <c r="E8" s="12" t="s">
        <v>130</v>
      </c>
      <c r="F8" s="12">
        <v>2024</v>
      </c>
      <c r="G8" s="12" t="s">
        <v>131</v>
      </c>
      <c r="H8" s="9" t="s">
        <v>155</v>
      </c>
      <c r="I8" s="9" t="s">
        <v>156</v>
      </c>
      <c r="J8" s="16" t="s">
        <v>157</v>
      </c>
    </row>
    <row r="9" ht="34" customHeight="1" spans="1:10">
      <c r="A9" s="12" t="s">
        <v>13</v>
      </c>
      <c r="B9" s="12" t="s">
        <v>20</v>
      </c>
      <c r="C9" s="12" t="s">
        <v>135</v>
      </c>
      <c r="D9" s="14">
        <v>281.99</v>
      </c>
      <c r="E9" s="12" t="s">
        <v>136</v>
      </c>
      <c r="F9" s="12">
        <v>2024</v>
      </c>
      <c r="G9" s="12" t="s">
        <v>131</v>
      </c>
      <c r="H9" s="9" t="s">
        <v>155</v>
      </c>
      <c r="I9" s="9" t="s">
        <v>156</v>
      </c>
      <c r="J9" s="16" t="s">
        <v>158</v>
      </c>
    </row>
    <row r="10" ht="34" customHeight="1" spans="1:10">
      <c r="A10" s="12" t="s">
        <v>13</v>
      </c>
      <c r="B10" s="12" t="s">
        <v>20</v>
      </c>
      <c r="C10" s="12" t="s">
        <v>3</v>
      </c>
      <c r="D10" s="15">
        <f>IFERROR(Summary_Wide!D4,"")</f>
        <v>8816.91903968226</v>
      </c>
      <c r="E10" s="12" t="s">
        <v>141</v>
      </c>
      <c r="F10" s="12">
        <v>2024</v>
      </c>
      <c r="G10" s="12" t="s">
        <v>142</v>
      </c>
      <c r="H10" s="9" t="s">
        <v>159</v>
      </c>
      <c r="I10" s="17" t="s">
        <v>160</v>
      </c>
      <c r="J10" s="16" t="s">
        <v>145</v>
      </c>
    </row>
    <row r="11" ht="34" customHeight="1" spans="1:10">
      <c r="A11" s="12" t="s">
        <v>13</v>
      </c>
      <c r="B11" s="12" t="s">
        <v>23</v>
      </c>
      <c r="C11" s="12" t="s">
        <v>2</v>
      </c>
      <c r="D11" s="13">
        <v>1801367</v>
      </c>
      <c r="E11" s="12" t="s">
        <v>130</v>
      </c>
      <c r="F11" s="12">
        <v>2024</v>
      </c>
      <c r="G11" s="12" t="s">
        <v>131</v>
      </c>
      <c r="H11" s="9" t="s">
        <v>161</v>
      </c>
      <c r="I11" s="9" t="s">
        <v>162</v>
      </c>
      <c r="J11" s="16" t="s">
        <v>157</v>
      </c>
    </row>
    <row r="12" ht="34" customHeight="1" spans="1:10">
      <c r="A12" s="12" t="s">
        <v>13</v>
      </c>
      <c r="B12" s="12" t="s">
        <v>23</v>
      </c>
      <c r="C12" s="12" t="s">
        <v>135</v>
      </c>
      <c r="D12" s="14">
        <v>352.51</v>
      </c>
      <c r="E12" s="12" t="s">
        <v>136</v>
      </c>
      <c r="F12" s="12">
        <v>2024</v>
      </c>
      <c r="G12" s="12" t="s">
        <v>137</v>
      </c>
      <c r="H12" s="9" t="s">
        <v>163</v>
      </c>
      <c r="I12" s="9" t="s">
        <v>164</v>
      </c>
      <c r="J12" s="16" t="s">
        <v>165</v>
      </c>
    </row>
    <row r="13" ht="34" customHeight="1" spans="1:10">
      <c r="A13" s="12" t="s">
        <v>13</v>
      </c>
      <c r="B13" s="12" t="s">
        <v>23</v>
      </c>
      <c r="C13" s="12" t="s">
        <v>3</v>
      </c>
      <c r="D13" s="15">
        <f>IFERROR(Summary_Wide!D5,"")</f>
        <v>5110.1160250773</v>
      </c>
      <c r="E13" s="12" t="s">
        <v>141</v>
      </c>
      <c r="F13" s="12">
        <v>2024</v>
      </c>
      <c r="G13" s="12" t="s">
        <v>142</v>
      </c>
      <c r="H13" s="9" t="s">
        <v>166</v>
      </c>
      <c r="I13" s="9" t="s">
        <v>167</v>
      </c>
      <c r="J13" s="16" t="s">
        <v>145</v>
      </c>
    </row>
    <row r="14" ht="34" customHeight="1" spans="1:10">
      <c r="A14" s="12" t="s">
        <v>13</v>
      </c>
      <c r="B14" s="12" t="s">
        <v>26</v>
      </c>
      <c r="C14" s="12" t="s">
        <v>2</v>
      </c>
      <c r="D14" s="13">
        <v>3018022</v>
      </c>
      <c r="E14" s="12" t="s">
        <v>130</v>
      </c>
      <c r="F14" s="12">
        <v>2024</v>
      </c>
      <c r="G14" s="12" t="s">
        <v>131</v>
      </c>
      <c r="H14" s="9" t="s">
        <v>168</v>
      </c>
      <c r="I14" s="9" t="s">
        <v>169</v>
      </c>
      <c r="J14" s="16" t="s">
        <v>157</v>
      </c>
    </row>
    <row r="15" ht="34" customHeight="1" spans="1:10">
      <c r="A15" s="12" t="s">
        <v>13</v>
      </c>
      <c r="B15" s="12" t="s">
        <v>26</v>
      </c>
      <c r="C15" s="12" t="s">
        <v>135</v>
      </c>
      <c r="D15" s="14">
        <v>338.05</v>
      </c>
      <c r="E15" s="12" t="s">
        <v>136</v>
      </c>
      <c r="F15" s="12">
        <v>2025</v>
      </c>
      <c r="G15" s="12" t="s">
        <v>137</v>
      </c>
      <c r="H15" s="9" t="s">
        <v>170</v>
      </c>
      <c r="I15" s="9" t="s">
        <v>171</v>
      </c>
      <c r="J15" s="16" t="s">
        <v>172</v>
      </c>
    </row>
    <row r="16" ht="34" customHeight="1" spans="1:10">
      <c r="A16" s="12" t="s">
        <v>13</v>
      </c>
      <c r="B16" s="12" t="s">
        <v>26</v>
      </c>
      <c r="C16" s="12" t="s">
        <v>3</v>
      </c>
      <c r="D16" s="15">
        <f>IFERROR(Summary_Wide!D6,"")</f>
        <v>8927.73850022186</v>
      </c>
      <c r="E16" s="12" t="s">
        <v>141</v>
      </c>
      <c r="F16" s="12">
        <v>2025</v>
      </c>
      <c r="G16" s="12" t="s">
        <v>142</v>
      </c>
      <c r="H16" s="9" t="s">
        <v>173</v>
      </c>
      <c r="I16" s="9" t="s">
        <v>174</v>
      </c>
      <c r="J16" s="16" t="s">
        <v>145</v>
      </c>
    </row>
    <row r="17" ht="34" customHeight="1" spans="1:10">
      <c r="A17" s="12" t="s">
        <v>29</v>
      </c>
      <c r="B17" s="12" t="s">
        <v>30</v>
      </c>
      <c r="C17" s="12" t="s">
        <v>2</v>
      </c>
      <c r="D17" s="13">
        <v>794313</v>
      </c>
      <c r="E17" s="12" t="s">
        <v>130</v>
      </c>
      <c r="F17" s="12">
        <v>2020</v>
      </c>
      <c r="G17" s="12" t="s">
        <v>131</v>
      </c>
      <c r="H17" s="9" t="s">
        <v>175</v>
      </c>
      <c r="I17" s="9" t="s">
        <v>176</v>
      </c>
      <c r="J17" s="16" t="s">
        <v>177</v>
      </c>
    </row>
    <row r="18" ht="34" customHeight="1" spans="1:10">
      <c r="A18" s="12" t="s">
        <v>29</v>
      </c>
      <c r="B18" s="12" t="s">
        <v>30</v>
      </c>
      <c r="C18" s="12" t="s">
        <v>135</v>
      </c>
      <c r="D18" s="14">
        <v>306</v>
      </c>
      <c r="E18" s="12" t="s">
        <v>136</v>
      </c>
      <c r="F18" s="12">
        <v>2020</v>
      </c>
      <c r="G18" s="12" t="s">
        <v>131</v>
      </c>
      <c r="H18" s="9" t="s">
        <v>175</v>
      </c>
      <c r="I18" s="9" t="s">
        <v>176</v>
      </c>
      <c r="J18" s="16" t="s">
        <v>178</v>
      </c>
    </row>
    <row r="19" ht="34" customHeight="1" spans="1:10">
      <c r="A19" s="12" t="s">
        <v>29</v>
      </c>
      <c r="B19" s="12" t="s">
        <v>30</v>
      </c>
      <c r="C19" s="12" t="s">
        <v>3</v>
      </c>
      <c r="D19" s="15">
        <f>IFERROR(Summary_Wide!D7,"")</f>
        <v>2595.79411764706</v>
      </c>
      <c r="E19" s="12" t="s">
        <v>141</v>
      </c>
      <c r="F19" s="12">
        <v>2020</v>
      </c>
      <c r="G19" s="12" t="s">
        <v>142</v>
      </c>
      <c r="H19" s="9" t="s">
        <v>179</v>
      </c>
      <c r="I19" s="9" t="s">
        <v>180</v>
      </c>
      <c r="J19" s="16" t="s">
        <v>145</v>
      </c>
    </row>
    <row r="20" ht="34" customHeight="1" spans="1:10">
      <c r="A20" s="12" t="s">
        <v>29</v>
      </c>
      <c r="B20" s="12" t="s">
        <v>33</v>
      </c>
      <c r="C20" s="12" t="s">
        <v>2</v>
      </c>
      <c r="D20" s="13">
        <v>759952</v>
      </c>
      <c r="E20" s="12" t="s">
        <v>130</v>
      </c>
      <c r="F20" s="12">
        <v>2020</v>
      </c>
      <c r="G20" s="12" t="s">
        <v>131</v>
      </c>
      <c r="H20" s="9" t="s">
        <v>181</v>
      </c>
      <c r="I20" s="9" t="s">
        <v>182</v>
      </c>
      <c r="J20" s="16" t="s">
        <v>183</v>
      </c>
    </row>
    <row r="21" ht="34" customHeight="1" spans="1:10">
      <c r="A21" s="12" t="s">
        <v>29</v>
      </c>
      <c r="B21" s="12" t="s">
        <v>33</v>
      </c>
      <c r="C21" s="12" t="s">
        <v>135</v>
      </c>
      <c r="D21" s="14">
        <v>643</v>
      </c>
      <c r="E21" s="12" t="s">
        <v>136</v>
      </c>
      <c r="F21" s="12">
        <v>2020</v>
      </c>
      <c r="G21" s="12" t="s">
        <v>131</v>
      </c>
      <c r="H21" s="9" t="s">
        <v>181</v>
      </c>
      <c r="I21" s="9" t="s">
        <v>182</v>
      </c>
      <c r="J21" s="16" t="s">
        <v>184</v>
      </c>
    </row>
    <row r="22" ht="34" customHeight="1" spans="1:10">
      <c r="A22" s="12" t="s">
        <v>29</v>
      </c>
      <c r="B22" s="12" t="s">
        <v>33</v>
      </c>
      <c r="C22" s="12" t="s">
        <v>3</v>
      </c>
      <c r="D22" s="15">
        <f>IFERROR(Summary_Wide!D8,"")</f>
        <v>1181.88491446345</v>
      </c>
      <c r="E22" s="12" t="s">
        <v>141</v>
      </c>
      <c r="F22" s="12">
        <v>2020</v>
      </c>
      <c r="G22" s="12" t="s">
        <v>142</v>
      </c>
      <c r="H22" s="9" t="s">
        <v>185</v>
      </c>
      <c r="I22" s="9" t="s">
        <v>186</v>
      </c>
      <c r="J22" s="16" t="s">
        <v>145</v>
      </c>
    </row>
    <row r="23" ht="34" customHeight="1" spans="1:10">
      <c r="A23" s="12" t="s">
        <v>29</v>
      </c>
      <c r="B23" s="12" t="s">
        <v>36</v>
      </c>
      <c r="C23" s="12" t="s">
        <v>2</v>
      </c>
      <c r="D23" s="13">
        <v>858118</v>
      </c>
      <c r="E23" s="12" t="s">
        <v>130</v>
      </c>
      <c r="F23" s="12">
        <v>2020</v>
      </c>
      <c r="G23" s="12" t="s">
        <v>131</v>
      </c>
      <c r="H23" s="9" t="s">
        <v>187</v>
      </c>
      <c r="I23" s="9" t="s">
        <v>188</v>
      </c>
      <c r="J23" s="16" t="s">
        <v>177</v>
      </c>
    </row>
    <row r="24" ht="34" customHeight="1" spans="1:10">
      <c r="A24" s="12" t="s">
        <v>29</v>
      </c>
      <c r="B24" s="12" t="s">
        <v>36</v>
      </c>
      <c r="C24" s="12" t="s">
        <v>135</v>
      </c>
      <c r="D24" s="14">
        <v>373.18</v>
      </c>
      <c r="E24" s="12" t="s">
        <v>136</v>
      </c>
      <c r="F24" s="12">
        <v>2020</v>
      </c>
      <c r="G24" s="12" t="s">
        <v>131</v>
      </c>
      <c r="H24" s="9" t="s">
        <v>187</v>
      </c>
      <c r="I24" s="9" t="s">
        <v>188</v>
      </c>
      <c r="J24" s="16" t="s">
        <v>178</v>
      </c>
    </row>
    <row r="25" ht="34" customHeight="1" spans="1:10">
      <c r="A25" s="12" t="s">
        <v>29</v>
      </c>
      <c r="B25" s="12" t="s">
        <v>36</v>
      </c>
      <c r="C25" s="12" t="s">
        <v>3</v>
      </c>
      <c r="D25" s="15">
        <f>IFERROR(Summary_Wide!D9,"")</f>
        <v>2299.4747842864</v>
      </c>
      <c r="E25" s="12" t="s">
        <v>141</v>
      </c>
      <c r="F25" s="12">
        <v>2020</v>
      </c>
      <c r="G25" s="12" t="s">
        <v>142</v>
      </c>
      <c r="H25" s="9" t="s">
        <v>189</v>
      </c>
      <c r="I25" s="9" t="s">
        <v>190</v>
      </c>
      <c r="J25" s="16" t="s">
        <v>145</v>
      </c>
    </row>
    <row r="26" ht="34" customHeight="1" spans="1:10">
      <c r="A26" s="12" t="s">
        <v>29</v>
      </c>
      <c r="B26" s="12" t="s">
        <v>39</v>
      </c>
      <c r="C26" s="12" t="s">
        <v>2</v>
      </c>
      <c r="D26" s="13">
        <v>1047356</v>
      </c>
      <c r="E26" s="12" t="s">
        <v>130</v>
      </c>
      <c r="F26" s="12">
        <v>2020</v>
      </c>
      <c r="G26" s="12" t="s">
        <v>137</v>
      </c>
      <c r="H26" s="9" t="s">
        <v>191</v>
      </c>
      <c r="I26" s="9" t="s">
        <v>192</v>
      </c>
      <c r="J26" s="16" t="s">
        <v>193</v>
      </c>
    </row>
    <row r="27" ht="34" customHeight="1" spans="1:10">
      <c r="A27" s="12" t="s">
        <v>29</v>
      </c>
      <c r="B27" s="12" t="s">
        <v>39</v>
      </c>
      <c r="C27" s="12" t="s">
        <v>135</v>
      </c>
      <c r="D27" s="14">
        <v>787</v>
      </c>
      <c r="E27" s="12" t="s">
        <v>136</v>
      </c>
      <c r="F27" s="12">
        <v>2020</v>
      </c>
      <c r="G27" s="12" t="s">
        <v>131</v>
      </c>
      <c r="H27" s="9" t="s">
        <v>194</v>
      </c>
      <c r="I27" s="9" t="s">
        <v>195</v>
      </c>
      <c r="J27" s="16" t="s">
        <v>196</v>
      </c>
    </row>
    <row r="28" ht="34" customHeight="1" spans="1:10">
      <c r="A28" s="12" t="s">
        <v>29</v>
      </c>
      <c r="B28" s="12" t="s">
        <v>39</v>
      </c>
      <c r="C28" s="12" t="s">
        <v>3</v>
      </c>
      <c r="D28" s="15">
        <f>IFERROR(Summary_Wide!D10,"")</f>
        <v>1330.8208386277</v>
      </c>
      <c r="E28" s="12" t="s">
        <v>141</v>
      </c>
      <c r="F28" s="12">
        <v>2020</v>
      </c>
      <c r="G28" s="12" t="s">
        <v>142</v>
      </c>
      <c r="H28" s="9" t="s">
        <v>197</v>
      </c>
      <c r="I28" s="9" t="s">
        <v>198</v>
      </c>
      <c r="J28" s="16" t="s">
        <v>199</v>
      </c>
    </row>
    <row r="29" ht="34" customHeight="1" spans="1:10">
      <c r="A29" s="12" t="s">
        <v>29</v>
      </c>
      <c r="B29" s="12" t="s">
        <v>42</v>
      </c>
      <c r="C29" s="12" t="s">
        <v>2</v>
      </c>
      <c r="D29" s="13">
        <v>568900</v>
      </c>
      <c r="E29" s="12" t="s">
        <v>130</v>
      </c>
      <c r="F29" s="12">
        <v>2022</v>
      </c>
      <c r="G29" s="12" t="s">
        <v>131</v>
      </c>
      <c r="H29" s="9" t="s">
        <v>200</v>
      </c>
      <c r="I29" s="9" t="s">
        <v>201</v>
      </c>
      <c r="J29" s="16" t="s">
        <v>202</v>
      </c>
    </row>
    <row r="30" ht="34" customHeight="1" spans="1:10">
      <c r="A30" s="12" t="s">
        <v>29</v>
      </c>
      <c r="B30" s="12" t="s">
        <v>42</v>
      </c>
      <c r="C30" s="12" t="s">
        <v>135</v>
      </c>
      <c r="D30" s="14">
        <v>115</v>
      </c>
      <c r="E30" s="12" t="s">
        <v>136</v>
      </c>
      <c r="F30" s="12">
        <v>2022</v>
      </c>
      <c r="G30" s="12" t="s">
        <v>131</v>
      </c>
      <c r="H30" s="9" t="s">
        <v>200</v>
      </c>
      <c r="I30" s="9" t="s">
        <v>201</v>
      </c>
      <c r="J30" s="16" t="s">
        <v>203</v>
      </c>
    </row>
    <row r="31" ht="34" customHeight="1" spans="1:10">
      <c r="A31" s="12" t="s">
        <v>29</v>
      </c>
      <c r="B31" s="12" t="s">
        <v>42</v>
      </c>
      <c r="C31" s="12" t="s">
        <v>3</v>
      </c>
      <c r="D31" s="15">
        <f>IFERROR(Summary_Wide!D11,"")</f>
        <v>4946.95652173913</v>
      </c>
      <c r="E31" s="12" t="s">
        <v>141</v>
      </c>
      <c r="F31" s="12">
        <v>2022</v>
      </c>
      <c r="G31" s="12" t="s">
        <v>142</v>
      </c>
      <c r="H31" s="9" t="s">
        <v>204</v>
      </c>
      <c r="I31" s="9" t="s">
        <v>205</v>
      </c>
      <c r="J31" s="16" t="s">
        <v>206</v>
      </c>
    </row>
    <row r="32" ht="34" customHeight="1" spans="1:10">
      <c r="A32" s="12" t="s">
        <v>29</v>
      </c>
      <c r="B32" s="12" t="s">
        <v>45</v>
      </c>
      <c r="C32" s="12" t="s">
        <v>2</v>
      </c>
      <c r="D32" s="13">
        <v>2075600</v>
      </c>
      <c r="E32" s="12" t="s">
        <v>130</v>
      </c>
      <c r="F32" s="12">
        <v>2024</v>
      </c>
      <c r="G32" s="12" t="s">
        <v>137</v>
      </c>
      <c r="H32" s="9" t="s">
        <v>207</v>
      </c>
      <c r="I32" s="9" t="s">
        <v>208</v>
      </c>
      <c r="J32" s="16" t="s">
        <v>209</v>
      </c>
    </row>
    <row r="33" ht="34" customHeight="1" spans="1:10">
      <c r="A33" s="12" t="s">
        <v>29</v>
      </c>
      <c r="B33" s="12" t="s">
        <v>45</v>
      </c>
      <c r="C33" s="12" t="s">
        <v>135</v>
      </c>
      <c r="D33" s="14">
        <v>243</v>
      </c>
      <c r="E33" s="12" t="s">
        <v>136</v>
      </c>
      <c r="F33" s="12">
        <v>2024</v>
      </c>
      <c r="G33" s="12" t="s">
        <v>131</v>
      </c>
      <c r="H33" s="9" t="s">
        <v>210</v>
      </c>
      <c r="I33" s="9" t="s">
        <v>211</v>
      </c>
      <c r="J33" s="16" t="s">
        <v>212</v>
      </c>
    </row>
    <row r="34" ht="34" customHeight="1" spans="1:10">
      <c r="A34" s="12" t="s">
        <v>29</v>
      </c>
      <c r="B34" s="12" t="s">
        <v>45</v>
      </c>
      <c r="C34" s="12" t="s">
        <v>102</v>
      </c>
      <c r="D34" s="13">
        <v>265800000000</v>
      </c>
      <c r="E34" s="12" t="s">
        <v>213</v>
      </c>
      <c r="F34" s="12">
        <v>2024</v>
      </c>
      <c r="G34" s="12" t="s">
        <v>137</v>
      </c>
      <c r="H34" s="9" t="s">
        <v>214</v>
      </c>
      <c r="I34" s="9" t="s">
        <v>215</v>
      </c>
      <c r="J34" s="16" t="s">
        <v>216</v>
      </c>
    </row>
    <row r="35" ht="34" customHeight="1" spans="1:10">
      <c r="A35" s="12" t="s">
        <v>29</v>
      </c>
      <c r="B35" s="12" t="s">
        <v>45</v>
      </c>
      <c r="C35" s="12" t="s">
        <v>101</v>
      </c>
      <c r="D35" s="15">
        <f>IFERROR(Summary_Wide!N12,"")</f>
        <v>128059.3563307</v>
      </c>
      <c r="E35" s="12" t="s">
        <v>217</v>
      </c>
      <c r="F35" s="12">
        <v>2024</v>
      </c>
      <c r="G35" s="12" t="s">
        <v>142</v>
      </c>
      <c r="H35" s="9" t="s">
        <v>218</v>
      </c>
      <c r="I35" s="9" t="s">
        <v>219</v>
      </c>
      <c r="J35" s="16" t="s">
        <v>220</v>
      </c>
    </row>
    <row r="36" ht="34" customHeight="1" spans="1:10">
      <c r="A36" s="12" t="s">
        <v>29</v>
      </c>
      <c r="B36" s="12" t="s">
        <v>45</v>
      </c>
      <c r="C36" s="12" t="s">
        <v>3</v>
      </c>
      <c r="D36" s="15">
        <f>IFERROR(Summary_Wide!D12,"")</f>
        <v>8541.56378600823</v>
      </c>
      <c r="E36" s="12" t="s">
        <v>141</v>
      </c>
      <c r="F36" s="12">
        <v>2024</v>
      </c>
      <c r="G36" s="12" t="s">
        <v>142</v>
      </c>
      <c r="H36" s="9" t="s">
        <v>221</v>
      </c>
      <c r="I36" s="9" t="s">
        <v>222</v>
      </c>
      <c r="J36" s="16" t="s">
        <v>223</v>
      </c>
    </row>
    <row r="37" ht="34" customHeight="1" spans="1:10">
      <c r="A37" s="12" t="s">
        <v>29</v>
      </c>
      <c r="B37" s="12" t="s">
        <v>48</v>
      </c>
      <c r="C37" s="12" t="s">
        <v>2</v>
      </c>
      <c r="D37" s="13">
        <v>946092</v>
      </c>
      <c r="E37" s="12" t="s">
        <v>130</v>
      </c>
      <c r="F37" s="12">
        <v>2020</v>
      </c>
      <c r="G37" s="12" t="s">
        <v>137</v>
      </c>
      <c r="H37" s="9" t="s">
        <v>191</v>
      </c>
      <c r="I37" s="9" t="s">
        <v>192</v>
      </c>
      <c r="J37" s="16" t="s">
        <v>224</v>
      </c>
    </row>
    <row r="38" ht="34" customHeight="1" spans="1:10">
      <c r="A38" s="12" t="s">
        <v>29</v>
      </c>
      <c r="B38" s="12" t="s">
        <v>48</v>
      </c>
      <c r="C38" s="12" t="s">
        <v>135</v>
      </c>
      <c r="D38" s="14">
        <v>748</v>
      </c>
      <c r="E38" s="12" t="s">
        <v>136</v>
      </c>
      <c r="F38" s="12">
        <v>2020</v>
      </c>
      <c r="G38" s="12" t="s">
        <v>131</v>
      </c>
      <c r="H38" s="9" t="s">
        <v>225</v>
      </c>
      <c r="I38" s="9" t="s">
        <v>226</v>
      </c>
      <c r="J38" s="16" t="s">
        <v>227</v>
      </c>
    </row>
    <row r="39" ht="34" customHeight="1" spans="1:10">
      <c r="A39" s="12" t="s">
        <v>29</v>
      </c>
      <c r="B39" s="12" t="s">
        <v>48</v>
      </c>
      <c r="C39" s="12" t="s">
        <v>3</v>
      </c>
      <c r="D39" s="15">
        <f>IFERROR(Summary_Wide!D13,"")</f>
        <v>1264.82887700535</v>
      </c>
      <c r="E39" s="12" t="s">
        <v>141</v>
      </c>
      <c r="F39" s="12">
        <v>2020</v>
      </c>
      <c r="G39" s="12" t="s">
        <v>142</v>
      </c>
      <c r="H39" s="9" t="s">
        <v>228</v>
      </c>
      <c r="I39" s="9" t="s">
        <v>229</v>
      </c>
      <c r="J39" s="16" t="s">
        <v>230</v>
      </c>
    </row>
    <row r="40" ht="34" customHeight="1" spans="1:10">
      <c r="A40" s="12" t="s">
        <v>50</v>
      </c>
      <c r="B40" s="12" t="s">
        <v>51</v>
      </c>
      <c r="C40" s="12" t="s">
        <v>2</v>
      </c>
      <c r="D40" s="13">
        <v>1848947</v>
      </c>
      <c r="E40" s="12" t="s">
        <v>130</v>
      </c>
      <c r="F40" s="12">
        <v>2024</v>
      </c>
      <c r="G40" s="12" t="s">
        <v>131</v>
      </c>
      <c r="H40" s="9" t="s">
        <v>231</v>
      </c>
      <c r="I40" s="9" t="s">
        <v>232</v>
      </c>
      <c r="J40" s="16" t="s">
        <v>233</v>
      </c>
    </row>
    <row r="41" ht="34" customHeight="1" spans="1:10">
      <c r="A41" s="12" t="s">
        <v>50</v>
      </c>
      <c r="B41" s="12" t="s">
        <v>51</v>
      </c>
      <c r="C41" s="12" t="s">
        <v>135</v>
      </c>
      <c r="D41" s="14">
        <v>2443.61</v>
      </c>
      <c r="E41" s="12" t="s">
        <v>136</v>
      </c>
      <c r="F41" s="12">
        <v>2024</v>
      </c>
      <c r="G41" s="12" t="s">
        <v>131</v>
      </c>
      <c r="H41" s="9" t="s">
        <v>231</v>
      </c>
      <c r="I41" s="9" t="s">
        <v>232</v>
      </c>
      <c r="J41" s="16" t="s">
        <v>234</v>
      </c>
    </row>
    <row r="42" ht="34" customHeight="1" spans="1:10">
      <c r="A42" s="12" t="s">
        <v>50</v>
      </c>
      <c r="B42" s="12" t="s">
        <v>51</v>
      </c>
      <c r="C42" s="12" t="s">
        <v>102</v>
      </c>
      <c r="D42" s="13">
        <v>574720000000</v>
      </c>
      <c r="E42" s="12" t="s">
        <v>235</v>
      </c>
      <c r="F42" s="12">
        <v>2024</v>
      </c>
      <c r="G42" s="12" t="s">
        <v>137</v>
      </c>
      <c r="H42" s="9" t="s">
        <v>236</v>
      </c>
      <c r="I42" s="9" t="s">
        <v>237</v>
      </c>
      <c r="J42" s="16" t="s">
        <v>238</v>
      </c>
    </row>
    <row r="43" ht="34" customHeight="1" spans="1:10">
      <c r="A43" s="12" t="s">
        <v>50</v>
      </c>
      <c r="B43" s="12" t="s">
        <v>51</v>
      </c>
      <c r="C43" s="12" t="s">
        <v>101</v>
      </c>
      <c r="D43" s="15">
        <f>IFERROR(Summary_Wide!N14,"")</f>
        <v>310836.384168935</v>
      </c>
      <c r="E43" s="12" t="s">
        <v>239</v>
      </c>
      <c r="F43" s="12">
        <v>2024</v>
      </c>
      <c r="G43" s="12" t="s">
        <v>142</v>
      </c>
      <c r="H43" s="9" t="s">
        <v>240</v>
      </c>
      <c r="I43" s="9" t="s">
        <v>241</v>
      </c>
      <c r="J43" s="16" t="s">
        <v>242</v>
      </c>
    </row>
    <row r="44" ht="34" customHeight="1" spans="1:10">
      <c r="A44" s="12" t="s">
        <v>50</v>
      </c>
      <c r="B44" s="12" t="s">
        <v>51</v>
      </c>
      <c r="C44" s="12" t="s">
        <v>3</v>
      </c>
      <c r="D44" s="15">
        <f>IFERROR(Summary_Wide!D14,"")</f>
        <v>756.645700418643</v>
      </c>
      <c r="E44" s="12" t="s">
        <v>141</v>
      </c>
      <c r="F44" s="12">
        <v>2024</v>
      </c>
      <c r="G44" s="12" t="s">
        <v>142</v>
      </c>
      <c r="H44" s="9" t="s">
        <v>243</v>
      </c>
      <c r="I44" s="9" t="s">
        <v>244</v>
      </c>
      <c r="J44" s="16" t="s">
        <v>245</v>
      </c>
    </row>
    <row r="45" ht="34" customHeight="1" spans="1:10">
      <c r="A45" s="12" t="s">
        <v>50</v>
      </c>
      <c r="B45" s="12" t="s">
        <v>116</v>
      </c>
      <c r="C45" s="12" t="s">
        <v>2</v>
      </c>
      <c r="D45" s="13">
        <v>1902590</v>
      </c>
      <c r="E45" s="12" t="s">
        <v>130</v>
      </c>
      <c r="F45" s="12">
        <v>2024</v>
      </c>
      <c r="G45" s="12" t="s">
        <v>131</v>
      </c>
      <c r="H45" s="9" t="s">
        <v>246</v>
      </c>
      <c r="I45" s="9" t="s">
        <v>247</v>
      </c>
      <c r="J45" s="16" t="s">
        <v>233</v>
      </c>
    </row>
    <row r="46" ht="34" customHeight="1" spans="1:10">
      <c r="A46" s="12" t="s">
        <v>50</v>
      </c>
      <c r="B46" s="12" t="s">
        <v>116</v>
      </c>
      <c r="C46" s="12" t="s">
        <v>135</v>
      </c>
      <c r="D46" s="14">
        <v>42.34</v>
      </c>
      <c r="E46" s="12" t="s">
        <v>136</v>
      </c>
      <c r="F46" s="12">
        <v>2024</v>
      </c>
      <c r="G46" s="12" t="s">
        <v>131</v>
      </c>
      <c r="H46" s="9" t="s">
        <v>246</v>
      </c>
      <c r="I46" s="9" t="s">
        <v>247</v>
      </c>
      <c r="J46" s="16" t="s">
        <v>248</v>
      </c>
    </row>
    <row r="47" ht="34" customHeight="1" spans="1:10">
      <c r="A47" s="12" t="s">
        <v>50</v>
      </c>
      <c r="B47" s="12" t="s">
        <v>116</v>
      </c>
      <c r="C47" s="12" t="s">
        <v>102</v>
      </c>
      <c r="D47" s="13">
        <v>1040000000000</v>
      </c>
      <c r="E47" s="12" t="s">
        <v>235</v>
      </c>
      <c r="F47" s="12">
        <v>2024</v>
      </c>
      <c r="G47" s="12" t="s">
        <v>131</v>
      </c>
      <c r="H47" s="9" t="s">
        <v>249</v>
      </c>
      <c r="I47" s="9" t="s">
        <v>250</v>
      </c>
      <c r="J47" s="16" t="s">
        <v>251</v>
      </c>
    </row>
    <row r="48" ht="34" customHeight="1" spans="1:10">
      <c r="A48" s="12" t="s">
        <v>50</v>
      </c>
      <c r="B48" s="12" t="s">
        <v>116</v>
      </c>
      <c r="C48" s="12" t="s">
        <v>101</v>
      </c>
      <c r="D48" s="15">
        <f>IFERROR(Summary_Wide!N15,"")</f>
        <v>546623.287203233</v>
      </c>
      <c r="E48" s="12" t="s">
        <v>239</v>
      </c>
      <c r="F48" s="12">
        <v>2024</v>
      </c>
      <c r="G48" s="12" t="s">
        <v>142</v>
      </c>
      <c r="H48" s="9" t="s">
        <v>252</v>
      </c>
      <c r="I48" s="9" t="s">
        <v>253</v>
      </c>
      <c r="J48" s="16" t="s">
        <v>254</v>
      </c>
    </row>
    <row r="49" ht="34" customHeight="1" spans="1:10">
      <c r="A49" s="12" t="s">
        <v>50</v>
      </c>
      <c r="B49" s="12" t="s">
        <v>116</v>
      </c>
      <c r="C49" s="12" t="s">
        <v>3</v>
      </c>
      <c r="D49" s="15">
        <f>IFERROR(Summary_Wide!D15,"")</f>
        <v>44935.9943316013</v>
      </c>
      <c r="E49" s="12" t="s">
        <v>141</v>
      </c>
      <c r="F49" s="12">
        <v>2024</v>
      </c>
      <c r="G49" s="12" t="s">
        <v>142</v>
      </c>
      <c r="H49" s="9" t="s">
        <v>255</v>
      </c>
      <c r="I49" s="9" t="s">
        <v>256</v>
      </c>
      <c r="J49" s="16" t="s">
        <v>245</v>
      </c>
    </row>
    <row r="50" ht="34" customHeight="1" spans="1:10">
      <c r="A50" s="12" t="s">
        <v>57</v>
      </c>
      <c r="B50" s="12" t="s">
        <v>57</v>
      </c>
      <c r="C50" s="12" t="s">
        <v>2</v>
      </c>
      <c r="D50" s="13">
        <v>6111200</v>
      </c>
      <c r="E50" s="12" t="s">
        <v>130</v>
      </c>
      <c r="F50" s="12">
        <v>2025</v>
      </c>
      <c r="G50" s="12" t="s">
        <v>137</v>
      </c>
      <c r="H50" s="9" t="s">
        <v>257</v>
      </c>
      <c r="I50" s="9" t="s">
        <v>258</v>
      </c>
      <c r="J50" s="16" t="s">
        <v>259</v>
      </c>
    </row>
    <row r="51" ht="34" customHeight="1" spans="1:10">
      <c r="A51" s="12" t="s">
        <v>57</v>
      </c>
      <c r="B51" s="12" t="s">
        <v>57</v>
      </c>
      <c r="C51" s="12" t="s">
        <v>135</v>
      </c>
      <c r="D51" s="14">
        <v>744.3</v>
      </c>
      <c r="E51" s="12" t="s">
        <v>136</v>
      </c>
      <c r="F51" s="12">
        <v>2025</v>
      </c>
      <c r="G51" s="12" t="s">
        <v>137</v>
      </c>
      <c r="H51" s="9" t="s">
        <v>260</v>
      </c>
      <c r="I51" s="9" t="s">
        <v>261</v>
      </c>
      <c r="J51" s="16" t="s">
        <v>262</v>
      </c>
    </row>
    <row r="52" ht="34" customHeight="1" spans="1:10">
      <c r="A52" s="12" t="s">
        <v>57</v>
      </c>
      <c r="B52" s="12" t="s">
        <v>57</v>
      </c>
      <c r="C52" s="12" t="s">
        <v>102</v>
      </c>
      <c r="D52" s="13">
        <v>765497500000</v>
      </c>
      <c r="E52" s="12" t="s">
        <v>263</v>
      </c>
      <c r="F52" s="12">
        <v>2024</v>
      </c>
      <c r="G52" s="12" t="s">
        <v>137</v>
      </c>
      <c r="H52" s="9" t="s">
        <v>264</v>
      </c>
      <c r="I52" s="9" t="s">
        <v>265</v>
      </c>
      <c r="J52" s="16" t="s">
        <v>266</v>
      </c>
    </row>
    <row r="53" ht="34" customHeight="1" spans="1:10">
      <c r="A53" s="12" t="s">
        <v>57</v>
      </c>
      <c r="B53" s="12" t="s">
        <v>57</v>
      </c>
      <c r="C53" s="12" t="s">
        <v>101</v>
      </c>
      <c r="D53" s="15">
        <v>121161</v>
      </c>
      <c r="E53" s="12" t="s">
        <v>267</v>
      </c>
      <c r="F53" s="12">
        <v>2024</v>
      </c>
      <c r="G53" s="12" t="s">
        <v>137</v>
      </c>
      <c r="H53" s="9" t="s">
        <v>264</v>
      </c>
      <c r="I53" s="9" t="s">
        <v>265</v>
      </c>
      <c r="J53" s="16" t="s">
        <v>268</v>
      </c>
    </row>
    <row r="54" ht="34" customHeight="1" spans="1:10">
      <c r="A54" s="12" t="s">
        <v>57</v>
      </c>
      <c r="B54" s="12" t="s">
        <v>57</v>
      </c>
      <c r="C54" s="12" t="s">
        <v>3</v>
      </c>
      <c r="D54" s="15">
        <f>IFERROR(Summary_Wide!D16,"")</f>
        <v>8210.66774150208</v>
      </c>
      <c r="E54" s="12" t="s">
        <v>141</v>
      </c>
      <c r="F54" s="12">
        <v>2025</v>
      </c>
      <c r="G54" s="12" t="s">
        <v>142</v>
      </c>
      <c r="H54" s="9" t="s">
        <v>269</v>
      </c>
      <c r="I54" s="9" t="s">
        <v>270</v>
      </c>
      <c r="J54" s="16" t="s">
        <v>271</v>
      </c>
    </row>
    <row r="55" ht="34" customHeight="1" spans="1:10">
      <c r="A55" s="12" t="s">
        <v>60</v>
      </c>
      <c r="B55" s="12" t="s">
        <v>61</v>
      </c>
      <c r="C55" s="12" t="s">
        <v>2</v>
      </c>
      <c r="D55" s="13">
        <v>10539000</v>
      </c>
      <c r="E55" s="12" t="s">
        <v>130</v>
      </c>
      <c r="F55" s="12">
        <v>2021</v>
      </c>
      <c r="G55" s="12" t="s">
        <v>131</v>
      </c>
      <c r="H55" s="9" t="s">
        <v>272</v>
      </c>
      <c r="I55" s="9" t="s">
        <v>273</v>
      </c>
      <c r="J55" s="16" t="s">
        <v>274</v>
      </c>
    </row>
    <row r="56" ht="34" customHeight="1" spans="1:10">
      <c r="A56" s="12" t="s">
        <v>60</v>
      </c>
      <c r="B56" s="12" t="s">
        <v>61</v>
      </c>
      <c r="C56" s="12" t="s">
        <v>135</v>
      </c>
      <c r="D56" s="14">
        <v>1568.74</v>
      </c>
      <c r="E56" s="12" t="s">
        <v>136</v>
      </c>
      <c r="F56" s="12">
        <v>2021</v>
      </c>
      <c r="G56" s="12" t="s">
        <v>131</v>
      </c>
      <c r="H56" s="9" t="s">
        <v>272</v>
      </c>
      <c r="I56" s="9" t="s">
        <v>273</v>
      </c>
      <c r="J56" s="16" t="s">
        <v>275</v>
      </c>
    </row>
    <row r="57" ht="34" customHeight="1" spans="1:10">
      <c r="A57" s="12" t="s">
        <v>60</v>
      </c>
      <c r="B57" s="12" t="s">
        <v>61</v>
      </c>
      <c r="C57" s="12" t="s">
        <v>3</v>
      </c>
      <c r="D57" s="15">
        <f>IFERROR(Summary_Wide!D17,"")</f>
        <v>6718.13047413848</v>
      </c>
      <c r="E57" s="12" t="s">
        <v>141</v>
      </c>
      <c r="F57" s="12">
        <v>2021</v>
      </c>
      <c r="G57" s="12" t="s">
        <v>142</v>
      </c>
      <c r="H57" s="9" t="s">
        <v>276</v>
      </c>
      <c r="I57" s="9" t="s">
        <v>277</v>
      </c>
      <c r="J57" s="16" t="s">
        <v>278</v>
      </c>
    </row>
    <row r="58" ht="34" customHeight="1" spans="1:10">
      <c r="A58" s="12" t="s">
        <v>60</v>
      </c>
      <c r="B58" s="12" t="s">
        <v>64</v>
      </c>
      <c r="C58" s="12" t="s">
        <v>2</v>
      </c>
      <c r="D58" s="13">
        <v>1198000</v>
      </c>
      <c r="E58" s="12" t="s">
        <v>130</v>
      </c>
      <c r="F58" s="12">
        <v>2021</v>
      </c>
      <c r="G58" s="12" t="s">
        <v>131</v>
      </c>
      <c r="H58" s="9" t="s">
        <v>272</v>
      </c>
      <c r="I58" s="9" t="s">
        <v>273</v>
      </c>
      <c r="J58" s="16" t="s">
        <v>274</v>
      </c>
    </row>
    <row r="59" ht="34" customHeight="1" spans="1:10">
      <c r="A59" s="12" t="s">
        <v>60</v>
      </c>
      <c r="B59" s="12" t="s">
        <v>64</v>
      </c>
      <c r="C59" s="12" t="s">
        <v>135</v>
      </c>
      <c r="D59" s="14">
        <v>405</v>
      </c>
      <c r="E59" s="12" t="s">
        <v>136</v>
      </c>
      <c r="F59" s="12">
        <v>2021</v>
      </c>
      <c r="G59" s="12" t="s">
        <v>131</v>
      </c>
      <c r="H59" s="9" t="s">
        <v>272</v>
      </c>
      <c r="I59" s="9" t="s">
        <v>273</v>
      </c>
      <c r="J59" s="16" t="s">
        <v>275</v>
      </c>
    </row>
    <row r="60" ht="34" customHeight="1" spans="1:10">
      <c r="A60" s="12" t="s">
        <v>60</v>
      </c>
      <c r="B60" s="12" t="s">
        <v>64</v>
      </c>
      <c r="C60" s="12" t="s">
        <v>3</v>
      </c>
      <c r="D60" s="15">
        <f>IFERROR(Summary_Wide!D18,"")</f>
        <v>2958.02469135802</v>
      </c>
      <c r="E60" s="12" t="s">
        <v>141</v>
      </c>
      <c r="F60" s="12">
        <v>2021</v>
      </c>
      <c r="G60" s="12" t="s">
        <v>142</v>
      </c>
      <c r="H60" s="9" t="s">
        <v>276</v>
      </c>
      <c r="I60" s="9" t="s">
        <v>277</v>
      </c>
      <c r="J60" s="16" t="s">
        <v>278</v>
      </c>
    </row>
    <row r="61" ht="34" customHeight="1" spans="1:10">
      <c r="A61" s="12" t="s">
        <v>60</v>
      </c>
      <c r="B61" s="12" t="s">
        <v>67</v>
      </c>
      <c r="C61" s="12" t="s">
        <v>2</v>
      </c>
      <c r="D61" s="13">
        <v>404044</v>
      </c>
      <c r="E61" s="12" t="s">
        <v>130</v>
      </c>
      <c r="F61" s="12">
        <v>2021</v>
      </c>
      <c r="G61" s="12" t="s">
        <v>131</v>
      </c>
      <c r="H61" s="9" t="s">
        <v>272</v>
      </c>
      <c r="I61" s="9" t="s">
        <v>273</v>
      </c>
      <c r="J61" s="16" t="s">
        <v>274</v>
      </c>
    </row>
    <row r="62" ht="34" customHeight="1" spans="1:10">
      <c r="A62" s="12" t="s">
        <v>60</v>
      </c>
      <c r="B62" s="12" t="s">
        <v>67</v>
      </c>
      <c r="C62" s="12" t="s">
        <v>135</v>
      </c>
      <c r="D62" s="14">
        <v>852.796</v>
      </c>
      <c r="E62" s="12" t="s">
        <v>136</v>
      </c>
      <c r="F62" s="12">
        <v>2021</v>
      </c>
      <c r="G62" s="12" t="s">
        <v>131</v>
      </c>
      <c r="H62" s="9" t="s">
        <v>272</v>
      </c>
      <c r="I62" s="9" t="s">
        <v>273</v>
      </c>
      <c r="J62" s="16" t="s">
        <v>275</v>
      </c>
    </row>
    <row r="63" ht="34" customHeight="1" spans="1:10">
      <c r="A63" s="12" t="s">
        <v>60</v>
      </c>
      <c r="B63" s="12" t="s">
        <v>67</v>
      </c>
      <c r="C63" s="12" t="s">
        <v>3</v>
      </c>
      <c r="D63" s="15">
        <f>IFERROR(Summary_Wide!D19,"")</f>
        <v>473.787400503755</v>
      </c>
      <c r="E63" s="12" t="s">
        <v>141</v>
      </c>
      <c r="F63" s="12">
        <v>2021</v>
      </c>
      <c r="G63" s="12" t="s">
        <v>142</v>
      </c>
      <c r="H63" s="9" t="s">
        <v>276</v>
      </c>
      <c r="I63" s="9" t="s">
        <v>277</v>
      </c>
      <c r="J63" s="16" t="s">
        <v>278</v>
      </c>
    </row>
    <row r="64" ht="34" customHeight="1" spans="1:10">
      <c r="A64" s="12" t="s">
        <v>60</v>
      </c>
      <c r="B64" s="12" t="s">
        <v>70</v>
      </c>
      <c r="C64" s="12" t="s">
        <v>2</v>
      </c>
      <c r="D64" s="13">
        <v>412758</v>
      </c>
      <c r="E64" s="12" t="s">
        <v>130</v>
      </c>
      <c r="F64" s="12">
        <v>2021</v>
      </c>
      <c r="G64" s="12" t="s">
        <v>131</v>
      </c>
      <c r="H64" s="9" t="s">
        <v>272</v>
      </c>
      <c r="I64" s="9" t="s">
        <v>273</v>
      </c>
      <c r="J64" s="16" t="s">
        <v>274</v>
      </c>
    </row>
    <row r="65" ht="34" customHeight="1" spans="1:10">
      <c r="A65" s="12" t="s">
        <v>60</v>
      </c>
      <c r="B65" s="12" t="s">
        <v>70</v>
      </c>
      <c r="C65" s="12" t="s">
        <v>135</v>
      </c>
      <c r="D65" s="14">
        <v>953.4</v>
      </c>
      <c r="E65" s="12" t="s">
        <v>136</v>
      </c>
      <c r="F65" s="12">
        <v>2021</v>
      </c>
      <c r="G65" s="12" t="s">
        <v>131</v>
      </c>
      <c r="H65" s="9" t="s">
        <v>272</v>
      </c>
      <c r="I65" s="9" t="s">
        <v>273</v>
      </c>
      <c r="J65" s="16" t="s">
        <v>275</v>
      </c>
    </row>
    <row r="66" ht="34" customHeight="1" spans="1:10">
      <c r="A66" s="12" t="s">
        <v>60</v>
      </c>
      <c r="B66" s="12" t="s">
        <v>70</v>
      </c>
      <c r="C66" s="12" t="s">
        <v>3</v>
      </c>
      <c r="D66" s="15">
        <f>IFERROR(Summary_Wide!D20,"")</f>
        <v>432.932662051605</v>
      </c>
      <c r="E66" s="12" t="s">
        <v>141</v>
      </c>
      <c r="F66" s="12">
        <v>2021</v>
      </c>
      <c r="G66" s="12" t="s">
        <v>142</v>
      </c>
      <c r="H66" s="9" t="s">
        <v>276</v>
      </c>
      <c r="I66" s="9" t="s">
        <v>277</v>
      </c>
      <c r="J66" s="16" t="s">
        <v>278</v>
      </c>
    </row>
    <row r="67" ht="34" customHeight="1" spans="1:10">
      <c r="A67" s="12" t="s">
        <v>60</v>
      </c>
      <c r="B67" s="12" t="s">
        <v>73</v>
      </c>
      <c r="C67" s="12" t="s">
        <v>2</v>
      </c>
      <c r="D67" s="13">
        <v>466098</v>
      </c>
      <c r="E67" s="12" t="s">
        <v>130</v>
      </c>
      <c r="F67" s="12">
        <v>2021</v>
      </c>
      <c r="G67" s="12" t="s">
        <v>131</v>
      </c>
      <c r="H67" s="9" t="s">
        <v>272</v>
      </c>
      <c r="I67" s="9" t="s">
        <v>273</v>
      </c>
      <c r="J67" s="16" t="s">
        <v>274</v>
      </c>
    </row>
    <row r="68" ht="34" customHeight="1" spans="1:10">
      <c r="A68" s="12" t="s">
        <v>60</v>
      </c>
      <c r="B68" s="12" t="s">
        <v>73</v>
      </c>
      <c r="C68" s="12" t="s">
        <v>135</v>
      </c>
      <c r="D68" s="14">
        <v>755.6</v>
      </c>
      <c r="E68" s="12" t="s">
        <v>136</v>
      </c>
      <c r="F68" s="12">
        <v>2021</v>
      </c>
      <c r="G68" s="12" t="s">
        <v>131</v>
      </c>
      <c r="H68" s="9" t="s">
        <v>272</v>
      </c>
      <c r="I68" s="9" t="s">
        <v>273</v>
      </c>
      <c r="J68" s="16" t="s">
        <v>275</v>
      </c>
    </row>
    <row r="69" ht="34" customHeight="1" spans="1:10">
      <c r="A69" s="12" t="s">
        <v>60</v>
      </c>
      <c r="B69" s="12" t="s">
        <v>73</v>
      </c>
      <c r="C69" s="12" t="s">
        <v>3</v>
      </c>
      <c r="D69" s="15">
        <f>IFERROR(Summary_Wide!D21,"")</f>
        <v>616.858125992589</v>
      </c>
      <c r="E69" s="12" t="s">
        <v>141</v>
      </c>
      <c r="F69" s="12">
        <v>2021</v>
      </c>
      <c r="G69" s="12" t="s">
        <v>142</v>
      </c>
      <c r="H69" s="9" t="s">
        <v>276</v>
      </c>
      <c r="I69" s="9" t="s">
        <v>277</v>
      </c>
      <c r="J69" s="16" t="s">
        <v>278</v>
      </c>
    </row>
    <row r="70" ht="34" customHeight="1" spans="1:10">
      <c r="A70" s="12" t="s">
        <v>76</v>
      </c>
      <c r="B70" s="12" t="s">
        <v>77</v>
      </c>
      <c r="C70" s="12" t="s">
        <v>2</v>
      </c>
      <c r="D70" s="13">
        <v>8807523</v>
      </c>
      <c r="E70" s="12" t="s">
        <v>130</v>
      </c>
      <c r="F70" s="12">
        <v>2025</v>
      </c>
      <c r="G70" s="12" t="s">
        <v>131</v>
      </c>
      <c r="H70" s="9" t="s">
        <v>279</v>
      </c>
      <c r="I70" s="9" t="s">
        <v>280</v>
      </c>
      <c r="J70" s="16" t="s">
        <v>281</v>
      </c>
    </row>
    <row r="71" ht="34" customHeight="1" spans="1:10">
      <c r="A71" s="12" t="s">
        <v>76</v>
      </c>
      <c r="B71" s="12" t="s">
        <v>77</v>
      </c>
      <c r="C71" s="12" t="s">
        <v>135</v>
      </c>
      <c r="D71" s="14">
        <v>3358.6</v>
      </c>
      <c r="E71" s="12" t="s">
        <v>136</v>
      </c>
      <c r="F71" s="12">
        <v>2025</v>
      </c>
      <c r="G71" s="12" t="s">
        <v>131</v>
      </c>
      <c r="H71" s="9" t="s">
        <v>279</v>
      </c>
      <c r="I71" s="9" t="s">
        <v>280</v>
      </c>
      <c r="J71" s="16" t="s">
        <v>282</v>
      </c>
    </row>
    <row r="72" ht="34" customHeight="1" spans="1:10">
      <c r="A72" s="12" t="s">
        <v>76</v>
      </c>
      <c r="B72" s="12" t="s">
        <v>77</v>
      </c>
      <c r="C72" s="12" t="s">
        <v>102</v>
      </c>
      <c r="D72" s="13">
        <v>1430000000000000</v>
      </c>
      <c r="E72" s="12" t="s">
        <v>283</v>
      </c>
      <c r="F72" s="12">
        <v>2024</v>
      </c>
      <c r="G72" s="12" t="s">
        <v>131</v>
      </c>
      <c r="H72" s="9" t="s">
        <v>284</v>
      </c>
      <c r="I72" s="9" t="s">
        <v>285</v>
      </c>
      <c r="J72" s="16" t="s">
        <v>286</v>
      </c>
    </row>
    <row r="73" ht="34" customHeight="1" spans="1:10">
      <c r="A73" s="12" t="s">
        <v>76</v>
      </c>
      <c r="B73" s="12" t="s">
        <v>77</v>
      </c>
      <c r="C73" s="12" t="s">
        <v>101</v>
      </c>
      <c r="D73" s="15">
        <v>163500000</v>
      </c>
      <c r="E73" s="12" t="s">
        <v>287</v>
      </c>
      <c r="F73" s="12">
        <v>2024</v>
      </c>
      <c r="G73" s="12" t="s">
        <v>131</v>
      </c>
      <c r="H73" s="9" t="s">
        <v>284</v>
      </c>
      <c r="I73" s="9" t="s">
        <v>285</v>
      </c>
      <c r="J73" s="16" t="s">
        <v>288</v>
      </c>
    </row>
    <row r="74" ht="34" customHeight="1" spans="1:10">
      <c r="A74" s="12" t="s">
        <v>76</v>
      </c>
      <c r="B74" s="12" t="s">
        <v>77</v>
      </c>
      <c r="C74" s="12" t="s">
        <v>3</v>
      </c>
      <c r="D74" s="15">
        <f>IFERROR(Summary_Wide!D22,"")</f>
        <v>2622.37926517001</v>
      </c>
      <c r="E74" s="12" t="s">
        <v>141</v>
      </c>
      <c r="F74" s="12">
        <v>2025</v>
      </c>
      <c r="G74" s="12" t="s">
        <v>142</v>
      </c>
      <c r="H74" s="9" t="s">
        <v>289</v>
      </c>
      <c r="I74" s="9" t="s">
        <v>290</v>
      </c>
      <c r="J74" s="16" t="s">
        <v>291</v>
      </c>
    </row>
    <row r="75" ht="34" customHeight="1" spans="1:10">
      <c r="A75" s="12" t="s">
        <v>76</v>
      </c>
      <c r="B75" s="12" t="s">
        <v>80</v>
      </c>
      <c r="C75" s="12" t="s">
        <v>2</v>
      </c>
      <c r="D75" s="13">
        <v>8899866</v>
      </c>
      <c r="E75" s="12" t="s">
        <v>130</v>
      </c>
      <c r="F75" s="12">
        <v>2023</v>
      </c>
      <c r="G75" s="12" t="s">
        <v>131</v>
      </c>
      <c r="H75" s="9" t="s">
        <v>292</v>
      </c>
      <c r="I75" s="9" t="s">
        <v>293</v>
      </c>
      <c r="J75" s="16" t="s">
        <v>294</v>
      </c>
    </row>
    <row r="76" ht="34" customHeight="1" spans="1:10">
      <c r="A76" s="12" t="s">
        <v>76</v>
      </c>
      <c r="B76" s="12" t="s">
        <v>80</v>
      </c>
      <c r="C76" s="12" t="s">
        <v>135</v>
      </c>
      <c r="D76" s="14">
        <v>2061.2</v>
      </c>
      <c r="E76" s="12" t="s">
        <v>136</v>
      </c>
      <c r="F76" s="12">
        <v>2019</v>
      </c>
      <c r="G76" s="12" t="s">
        <v>131</v>
      </c>
      <c r="H76" s="9" t="s">
        <v>295</v>
      </c>
      <c r="I76" s="9" t="s">
        <v>296</v>
      </c>
      <c r="J76" s="16" t="s">
        <v>297</v>
      </c>
    </row>
    <row r="77" ht="34" customHeight="1" spans="1:10">
      <c r="A77" s="12" t="s">
        <v>76</v>
      </c>
      <c r="B77" s="12" t="s">
        <v>80</v>
      </c>
      <c r="C77" s="12" t="s">
        <v>102</v>
      </c>
      <c r="D77" s="13">
        <v>1780000000000000</v>
      </c>
      <c r="E77" s="12" t="s">
        <v>283</v>
      </c>
      <c r="F77" s="12">
        <v>2024</v>
      </c>
      <c r="G77" s="12" t="s">
        <v>131</v>
      </c>
      <c r="H77" s="9" t="s">
        <v>298</v>
      </c>
      <c r="I77" s="9" t="s">
        <v>299</v>
      </c>
      <c r="J77" s="16" t="s">
        <v>300</v>
      </c>
    </row>
    <row r="78" ht="34" customHeight="1" spans="1:10">
      <c r="A78" s="12" t="s">
        <v>76</v>
      </c>
      <c r="B78" s="12" t="s">
        <v>80</v>
      </c>
      <c r="C78" s="12" t="s">
        <v>3</v>
      </c>
      <c r="D78" s="15">
        <f>IFERROR(Summary_Wide!D23,"")</f>
        <v>4317.8080729672</v>
      </c>
      <c r="E78" s="12" t="s">
        <v>141</v>
      </c>
      <c r="F78" s="12">
        <v>2023</v>
      </c>
      <c r="G78" s="12" t="s">
        <v>142</v>
      </c>
      <c r="H78" s="9" t="s">
        <v>301</v>
      </c>
      <c r="I78" s="9" t="s">
        <v>302</v>
      </c>
      <c r="J78" s="16" t="s">
        <v>303</v>
      </c>
    </row>
  </sheetData>
  <hyperlinks>
    <hyperlink ref="I10" r:id="rId1" display="https://en.wikipedia.org/wiki/Medan | https://en.wikipedia.org/wiki/Medan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showGridLines="0" tabSelected="1" topLeftCell="A13" workbookViewId="0">
      <selection activeCell="A1" sqref="A1"/>
    </sheetView>
  </sheetViews>
  <sheetFormatPr defaultColWidth="9" defaultRowHeight="14.5" outlineLevelCol="3"/>
  <cols>
    <col min="1" max="1" width="18" customWidth="1"/>
    <col min="2" max="2" width="12" customWidth="1"/>
    <col min="3" max="3" width="55" customWidth="1"/>
    <col min="4" max="4" width="60" customWidth="1"/>
  </cols>
  <sheetData>
    <row r="1" spans="1:4">
      <c r="A1" s="7" t="s">
        <v>304</v>
      </c>
      <c r="B1" s="7" t="s">
        <v>127</v>
      </c>
      <c r="C1" s="7" t="s">
        <v>305</v>
      </c>
      <c r="D1" s="7" t="s">
        <v>306</v>
      </c>
    </row>
    <row r="2" ht="28" customHeight="1" spans="1:4">
      <c r="A2" s="8" t="s">
        <v>307</v>
      </c>
      <c r="B2" s="8" t="s">
        <v>131</v>
      </c>
      <c r="C2" s="9" t="s">
        <v>132</v>
      </c>
      <c r="D2" s="9" t="s">
        <v>133</v>
      </c>
    </row>
    <row r="3" ht="28" customHeight="1" spans="1:4">
      <c r="A3" s="10" t="s">
        <v>308</v>
      </c>
      <c r="B3" s="10" t="s">
        <v>137</v>
      </c>
      <c r="C3" s="9" t="s">
        <v>138</v>
      </c>
      <c r="D3" s="9" t="s">
        <v>139</v>
      </c>
    </row>
    <row r="4" ht="28" customHeight="1" spans="1:4">
      <c r="A4" s="10" t="s">
        <v>309</v>
      </c>
      <c r="B4" s="10" t="s">
        <v>137</v>
      </c>
      <c r="C4" s="9" t="s">
        <v>146</v>
      </c>
      <c r="D4" s="9" t="s">
        <v>147</v>
      </c>
    </row>
    <row r="5" ht="28" customHeight="1" spans="1:4">
      <c r="A5" s="10" t="s">
        <v>310</v>
      </c>
      <c r="B5" s="10" t="s">
        <v>137</v>
      </c>
      <c r="C5" s="9" t="s">
        <v>149</v>
      </c>
      <c r="D5" s="9" t="s">
        <v>150</v>
      </c>
    </row>
    <row r="6" ht="28" customHeight="1" spans="1:4">
      <c r="A6" s="8" t="s">
        <v>311</v>
      </c>
      <c r="B6" s="8" t="s">
        <v>131</v>
      </c>
      <c r="C6" s="9" t="s">
        <v>155</v>
      </c>
      <c r="D6" s="9" t="s">
        <v>156</v>
      </c>
    </row>
    <row r="7" ht="28" customHeight="1" spans="1:4">
      <c r="A7" s="8" t="s">
        <v>312</v>
      </c>
      <c r="B7" s="8" t="s">
        <v>131</v>
      </c>
      <c r="C7" s="9" t="s">
        <v>161</v>
      </c>
      <c r="D7" s="9" t="s">
        <v>162</v>
      </c>
    </row>
    <row r="8" ht="28" customHeight="1" spans="1:4">
      <c r="A8" s="10" t="s">
        <v>313</v>
      </c>
      <c r="B8" s="10" t="s">
        <v>137</v>
      </c>
      <c r="C8" s="9" t="s">
        <v>163</v>
      </c>
      <c r="D8" s="9" t="s">
        <v>164</v>
      </c>
    </row>
    <row r="9" ht="28" customHeight="1" spans="1:4">
      <c r="A9" s="8" t="s">
        <v>314</v>
      </c>
      <c r="B9" s="8" t="s">
        <v>131</v>
      </c>
      <c r="C9" s="9" t="s">
        <v>168</v>
      </c>
      <c r="D9" s="9" t="s">
        <v>169</v>
      </c>
    </row>
    <row r="10" ht="28" customHeight="1" spans="1:4">
      <c r="A10" s="10" t="s">
        <v>315</v>
      </c>
      <c r="B10" s="10" t="s">
        <v>137</v>
      </c>
      <c r="C10" s="9" t="s">
        <v>170</v>
      </c>
      <c r="D10" s="9" t="s">
        <v>171</v>
      </c>
    </row>
    <row r="11" ht="28" customHeight="1" spans="1:4">
      <c r="A11" s="8" t="s">
        <v>316</v>
      </c>
      <c r="B11" s="8" t="s">
        <v>131</v>
      </c>
      <c r="C11" s="9" t="s">
        <v>175</v>
      </c>
      <c r="D11" s="9" t="s">
        <v>176</v>
      </c>
    </row>
    <row r="12" ht="28" customHeight="1" spans="1:4">
      <c r="A12" s="8" t="s">
        <v>317</v>
      </c>
      <c r="B12" s="8" t="s">
        <v>131</v>
      </c>
      <c r="C12" s="9" t="s">
        <v>181</v>
      </c>
      <c r="D12" s="9" t="s">
        <v>182</v>
      </c>
    </row>
    <row r="13" ht="28" customHeight="1" spans="1:4">
      <c r="A13" s="8" t="s">
        <v>318</v>
      </c>
      <c r="B13" s="8" t="s">
        <v>131</v>
      </c>
      <c r="C13" s="9" t="s">
        <v>187</v>
      </c>
      <c r="D13" s="9" t="s">
        <v>188</v>
      </c>
    </row>
    <row r="14" ht="28" customHeight="1" spans="1:4">
      <c r="A14" s="10" t="s">
        <v>319</v>
      </c>
      <c r="B14" s="10" t="s">
        <v>137</v>
      </c>
      <c r="C14" s="9" t="s">
        <v>191</v>
      </c>
      <c r="D14" s="9" t="s">
        <v>192</v>
      </c>
    </row>
    <row r="15" ht="28" customHeight="1" spans="1:4">
      <c r="A15" s="8" t="s">
        <v>320</v>
      </c>
      <c r="B15" s="8" t="s">
        <v>131</v>
      </c>
      <c r="C15" s="9" t="s">
        <v>194</v>
      </c>
      <c r="D15" s="9" t="s">
        <v>195</v>
      </c>
    </row>
    <row r="16" ht="28" customHeight="1" spans="1:4">
      <c r="A16" s="8" t="s">
        <v>321</v>
      </c>
      <c r="B16" s="8" t="s">
        <v>131</v>
      </c>
      <c r="C16" s="9" t="s">
        <v>200</v>
      </c>
      <c r="D16" s="9" t="s">
        <v>201</v>
      </c>
    </row>
    <row r="17" ht="28" customHeight="1" spans="1:4">
      <c r="A17" s="10" t="s">
        <v>322</v>
      </c>
      <c r="B17" s="10" t="s">
        <v>137</v>
      </c>
      <c r="C17" s="9" t="s">
        <v>207</v>
      </c>
      <c r="D17" s="9" t="s">
        <v>208</v>
      </c>
    </row>
    <row r="18" ht="28" customHeight="1" spans="1:4">
      <c r="A18" s="8" t="s">
        <v>323</v>
      </c>
      <c r="B18" s="8" t="s">
        <v>131</v>
      </c>
      <c r="C18" s="9" t="s">
        <v>210</v>
      </c>
      <c r="D18" s="9" t="s">
        <v>211</v>
      </c>
    </row>
    <row r="19" ht="28" customHeight="1" spans="1:4">
      <c r="A19" s="10" t="s">
        <v>324</v>
      </c>
      <c r="B19" s="10" t="s">
        <v>137</v>
      </c>
      <c r="C19" s="9" t="s">
        <v>214</v>
      </c>
      <c r="D19" s="9" t="s">
        <v>215</v>
      </c>
    </row>
    <row r="20" ht="28" customHeight="1" spans="1:4">
      <c r="A20" s="10" t="s">
        <v>325</v>
      </c>
      <c r="B20" s="10" t="s">
        <v>137</v>
      </c>
      <c r="C20" s="9" t="s">
        <v>191</v>
      </c>
      <c r="D20" s="9" t="s">
        <v>192</v>
      </c>
    </row>
    <row r="21" ht="28" customHeight="1" spans="1:4">
      <c r="A21" s="8" t="s">
        <v>326</v>
      </c>
      <c r="B21" s="8" t="s">
        <v>131</v>
      </c>
      <c r="C21" s="9" t="s">
        <v>225</v>
      </c>
      <c r="D21" s="9" t="s">
        <v>226</v>
      </c>
    </row>
    <row r="22" ht="28" customHeight="1" spans="1:4">
      <c r="A22" s="8" t="s">
        <v>327</v>
      </c>
      <c r="B22" s="8" t="s">
        <v>131</v>
      </c>
      <c r="C22" s="9" t="s">
        <v>231</v>
      </c>
      <c r="D22" s="9" t="s">
        <v>232</v>
      </c>
    </row>
    <row r="23" ht="28" customHeight="1" spans="1:4">
      <c r="A23" s="10" t="s">
        <v>328</v>
      </c>
      <c r="B23" s="10" t="s">
        <v>137</v>
      </c>
      <c r="C23" s="9" t="s">
        <v>236</v>
      </c>
      <c r="D23" s="9" t="s">
        <v>237</v>
      </c>
    </row>
    <row r="24" ht="28" customHeight="1" spans="1:4">
      <c r="A24" s="8" t="s">
        <v>329</v>
      </c>
      <c r="B24" s="8" t="s">
        <v>131</v>
      </c>
      <c r="C24" s="9" t="s">
        <v>246</v>
      </c>
      <c r="D24" s="9" t="s">
        <v>247</v>
      </c>
    </row>
    <row r="25" ht="28" customHeight="1" spans="1:4">
      <c r="A25" s="8" t="s">
        <v>330</v>
      </c>
      <c r="B25" s="8" t="s">
        <v>131</v>
      </c>
      <c r="C25" s="9" t="s">
        <v>249</v>
      </c>
      <c r="D25" s="9" t="s">
        <v>250</v>
      </c>
    </row>
    <row r="26" ht="28" customHeight="1" spans="1:4">
      <c r="A26" s="10" t="s">
        <v>331</v>
      </c>
      <c r="B26" s="10" t="s">
        <v>137</v>
      </c>
      <c r="C26" s="9" t="s">
        <v>257</v>
      </c>
      <c r="D26" s="9" t="s">
        <v>258</v>
      </c>
    </row>
    <row r="27" ht="28" customHeight="1" spans="1:4">
      <c r="A27" s="10" t="s">
        <v>332</v>
      </c>
      <c r="B27" s="10" t="s">
        <v>137</v>
      </c>
      <c r="C27" s="9" t="s">
        <v>260</v>
      </c>
      <c r="D27" s="9" t="s">
        <v>261</v>
      </c>
    </row>
    <row r="28" ht="28" customHeight="1" spans="1:4">
      <c r="A28" s="10" t="s">
        <v>333</v>
      </c>
      <c r="B28" s="10" t="s">
        <v>137</v>
      </c>
      <c r="C28" s="9" t="s">
        <v>264</v>
      </c>
      <c r="D28" s="9" t="s">
        <v>265</v>
      </c>
    </row>
    <row r="29" ht="28" customHeight="1" spans="1:4">
      <c r="A29" s="8" t="s">
        <v>334</v>
      </c>
      <c r="B29" s="8" t="s">
        <v>131</v>
      </c>
      <c r="C29" s="9" t="s">
        <v>272</v>
      </c>
      <c r="D29" s="9" t="s">
        <v>273</v>
      </c>
    </row>
    <row r="30" ht="28" customHeight="1" spans="1:4">
      <c r="A30" s="8" t="s">
        <v>335</v>
      </c>
      <c r="B30" s="8" t="s">
        <v>131</v>
      </c>
      <c r="C30" s="9" t="s">
        <v>279</v>
      </c>
      <c r="D30" s="9" t="s">
        <v>280</v>
      </c>
    </row>
    <row r="31" ht="28" customHeight="1" spans="1:4">
      <c r="A31" s="8" t="s">
        <v>336</v>
      </c>
      <c r="B31" s="8" t="s">
        <v>131</v>
      </c>
      <c r="C31" s="9" t="s">
        <v>284</v>
      </c>
      <c r="D31" s="9" t="s">
        <v>285</v>
      </c>
    </row>
    <row r="32" ht="28" customHeight="1" spans="1:4">
      <c r="A32" s="8" t="s">
        <v>337</v>
      </c>
      <c r="B32" s="8" t="s">
        <v>131</v>
      </c>
      <c r="C32" s="9" t="s">
        <v>292</v>
      </c>
      <c r="D32" s="9" t="s">
        <v>293</v>
      </c>
    </row>
    <row r="33" ht="28" customHeight="1" spans="1:4">
      <c r="A33" s="8" t="s">
        <v>338</v>
      </c>
      <c r="B33" s="8" t="s">
        <v>131</v>
      </c>
      <c r="C33" s="9" t="s">
        <v>295</v>
      </c>
      <c r="D33" s="9" t="s">
        <v>296</v>
      </c>
    </row>
    <row r="34" ht="28" customHeight="1" spans="1:4">
      <c r="A34" s="8" t="s">
        <v>339</v>
      </c>
      <c r="B34" s="8" t="s">
        <v>131</v>
      </c>
      <c r="C34" s="9" t="s">
        <v>298</v>
      </c>
      <c r="D34" s="9" t="s">
        <v>299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L11" sqref="L11"/>
    </sheetView>
  </sheetViews>
  <sheetFormatPr defaultColWidth="8.72727272727273" defaultRowHeight="14.5"/>
  <sheetData>
    <row r="1" ht="50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84</v>
      </c>
      <c r="G1" s="1" t="s">
        <v>85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86</v>
      </c>
      <c r="M1" s="1" t="s">
        <v>12</v>
      </c>
    </row>
    <row r="2" ht="25.75" spans="1:13">
      <c r="A2" s="2" t="s">
        <v>50</v>
      </c>
      <c r="B2" s="2" t="s">
        <v>116</v>
      </c>
      <c r="C2" s="2">
        <v>1902590</v>
      </c>
      <c r="D2" s="2">
        <v>44936</v>
      </c>
      <c r="E2" s="2">
        <v>42.34</v>
      </c>
      <c r="F2" s="2">
        <v>10800</v>
      </c>
      <c r="G2" s="2" t="s">
        <v>91</v>
      </c>
      <c r="H2" s="2">
        <v>21.25</v>
      </c>
      <c r="I2" s="2" t="s">
        <v>75</v>
      </c>
      <c r="J2" s="2">
        <v>357</v>
      </c>
      <c r="K2" s="2">
        <v>26.45</v>
      </c>
      <c r="L2" s="2">
        <v>1128.5</v>
      </c>
      <c r="M2" s="2">
        <v>44936</v>
      </c>
    </row>
    <row r="3" ht="15.25" spans="1:5">
      <c r="A3" s="3"/>
      <c r="B3" s="4"/>
      <c r="C3" s="4"/>
      <c r="D3" s="5"/>
      <c r="E3" s="4"/>
    </row>
    <row r="4" ht="15.25" spans="1:5">
      <c r="A4" s="3"/>
      <c r="B4" s="4"/>
      <c r="C4" s="4"/>
      <c r="D4" s="5"/>
      <c r="E4" s="4"/>
    </row>
    <row r="5" ht="15.25" spans="1:5">
      <c r="A5" s="3"/>
      <c r="B5" s="4"/>
      <c r="C5" s="4"/>
      <c r="D5" s="5"/>
      <c r="E5" s="4"/>
    </row>
    <row r="6" ht="15.25" spans="1:5">
      <c r="A6" s="3"/>
      <c r="B6" s="4"/>
      <c r="C6" s="4"/>
      <c r="D6" s="5"/>
      <c r="E6" s="4"/>
    </row>
    <row r="7" ht="15.25" spans="1:5">
      <c r="A7" s="3"/>
      <c r="B7" s="4"/>
      <c r="C7" s="4"/>
      <c r="D7" s="5"/>
      <c r="E7" s="4"/>
    </row>
    <row r="8" ht="15.25" spans="1:5">
      <c r="A8" s="3"/>
      <c r="B8" s="4"/>
      <c r="C8" s="4"/>
      <c r="D8" s="5"/>
      <c r="E8" s="4"/>
    </row>
    <row r="9" ht="15.25" spans="1:5">
      <c r="A9" s="3"/>
      <c r="B9" s="4"/>
      <c r="C9" s="4"/>
      <c r="D9" s="5"/>
      <c r="E9" s="4"/>
    </row>
    <row r="10" ht="15.25" spans="1:5">
      <c r="A10" s="3"/>
      <c r="B10" s="4"/>
      <c r="C10" s="4"/>
      <c r="D10" s="5"/>
      <c r="E10" s="4"/>
    </row>
    <row r="11" ht="15.25" spans="1:5">
      <c r="A11" s="3"/>
      <c r="B11" s="4"/>
      <c r="C11" s="4"/>
      <c r="D11" s="3"/>
      <c r="E11" s="4"/>
    </row>
    <row r="12" ht="15.25" spans="1:5">
      <c r="A12" s="3"/>
      <c r="B12" s="4"/>
      <c r="C12" s="4"/>
      <c r="D12" s="5"/>
      <c r="E12" s="4"/>
    </row>
    <row r="13" ht="15.25" spans="1:5">
      <c r="A13" s="3"/>
      <c r="B13" s="4"/>
      <c r="C13" s="4"/>
      <c r="D13" s="5"/>
      <c r="E13" s="4"/>
    </row>
    <row r="14" ht="15.25" spans="1:5">
      <c r="A14" s="3"/>
      <c r="B14" s="4"/>
      <c r="C14" s="6"/>
      <c r="D14" s="5"/>
      <c r="E14" s="4"/>
    </row>
    <row r="15" ht="15.25" spans="1:5">
      <c r="A15" s="3"/>
      <c r="B15" s="4"/>
      <c r="C15" s="4"/>
      <c r="D15" s="5"/>
      <c r="E15" s="4"/>
    </row>
    <row r="16" ht="15.25" spans="1:5">
      <c r="A16" s="3"/>
      <c r="B16" s="4"/>
      <c r="C16" s="4"/>
      <c r="D16" s="5"/>
      <c r="E16" s="4"/>
    </row>
    <row r="17" ht="15.25" spans="1:5">
      <c r="A17" s="3"/>
      <c r="B17" s="4"/>
      <c r="C17" s="6"/>
      <c r="D17" s="5"/>
      <c r="E17" s="4"/>
    </row>
    <row r="18" ht="15.25" spans="1:5">
      <c r="A18" s="3"/>
      <c r="B18" s="4"/>
      <c r="C18" s="4"/>
      <c r="D18" s="5"/>
      <c r="E18" s="4"/>
    </row>
    <row r="19" ht="15.25" spans="1:5">
      <c r="A19" s="3"/>
      <c r="B19" s="3"/>
      <c r="C19" s="4"/>
      <c r="D19" s="5"/>
      <c r="E19" s="4"/>
    </row>
    <row r="20" ht="15.25" spans="1:5">
      <c r="A20" s="3"/>
      <c r="B20" s="4"/>
      <c r="C20" s="4"/>
      <c r="D20" s="5"/>
      <c r="E20" s="4"/>
    </row>
    <row r="21" ht="15.25" spans="1:5">
      <c r="A21" s="3"/>
      <c r="B21" s="4"/>
      <c r="C21" s="4"/>
      <c r="D21" s="5"/>
      <c r="E21" s="4"/>
    </row>
    <row r="22" ht="15.25" spans="1:5">
      <c r="A22" s="3"/>
      <c r="B22" s="4"/>
      <c r="C22" s="6"/>
      <c r="D22" s="5"/>
      <c r="E22" s="4"/>
    </row>
    <row r="23" ht="15.25" spans="1:5">
      <c r="A23" s="3"/>
      <c r="B23" s="4"/>
      <c r="C23" s="6"/>
      <c r="D23" s="5"/>
      <c r="E23" s="4"/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5">
    <comment s:ref="D1" rgbClr="2FC4BC"/>
    <comment s:ref="C2" rgbClr="2FC4BC"/>
    <comment s:ref="D2" rgbClr="2FC4BC"/>
    <comment s:ref="C3" rgbClr="2FC4BC"/>
    <comment s:ref="D3" rgbClr="2FC4BC"/>
    <comment s:ref="C4" rgbClr="2FC4BC"/>
    <comment s:ref="D4" rgbClr="2FC4BC"/>
    <comment s:ref="C5" rgbClr="2FC4BC"/>
    <comment s:ref="D5" rgbClr="2FC4BC"/>
    <comment s:ref="C6" rgbClr="2FC4BC"/>
    <comment s:ref="D6" rgbClr="2FC4BC"/>
    <comment s:ref="C7" rgbClr="2FC4BC"/>
    <comment s:ref="D7" rgbClr="2FC4BC"/>
    <comment s:ref="C8" rgbClr="2FC4BC"/>
    <comment s:ref="D8" rgbClr="2FC4BC"/>
    <comment s:ref="C9" rgbClr="2FC4BC"/>
    <comment s:ref="D9" rgbClr="2FC4BC"/>
    <comment s:ref="C10" rgbClr="2FC4BC"/>
    <comment s:ref="D10" rgbClr="2FC4BC"/>
    <comment s:ref="C11" rgbClr="2FC4BC"/>
    <comment s:ref="D11" rgbClr="2FC4BC"/>
    <comment s:ref="C12" rgbClr="2FC4BC"/>
    <comment s:ref="D12" rgbClr="2FC4BC"/>
    <comment s:ref="C13" rgbClr="2FC4BC"/>
    <comment s:ref="D13" rgbClr="2FC4BC"/>
    <comment s:ref="C14" rgbClr="2FC4BC"/>
    <comment s:ref="D14" rgbClr="2FC4BC"/>
    <comment s:ref="C16" rgbClr="2FC4BC"/>
    <comment s:ref="D16" rgbClr="2FC4BC"/>
    <comment s:ref="C17" rgbClr="2FC4BC"/>
    <comment s:ref="D17" rgbClr="2FC4BC"/>
    <comment s:ref="C18" rgbClr="2FC4BC"/>
    <comment s:ref="D18" rgbClr="2FC4BC"/>
    <comment s:ref="C19" rgbClr="2FC4BC"/>
    <comment s:ref="D19" rgbClr="2FC4BC"/>
    <comment s:ref="C20" rgbClr="2FC4BC"/>
    <comment s:ref="D20" rgbClr="2FC4BC"/>
    <comment s:ref="C21" rgbClr="2FC4BC"/>
    <comment s:ref="D21" rgbClr="2FC4BC"/>
    <comment s:ref="C22" rgbClr="2FC4BC"/>
    <comment s:ref="D22" rgbClr="2FC4BC"/>
    <comment s:ref="C23" rgbClr="2FC4BC"/>
    <comment s:ref="D23" rgbClr="2FC4BC"/>
  </commentList>
  <commentList sheetStid="1"/>
  <commentList sheetStid="7">
    <comment s:ref="D1" rgbClr="2FC4BC"/>
    <comment s:ref="C2" rgbClr="2FC4BC"/>
    <comment s:ref="D2" rgbClr="2FC4B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0320</vt:lpstr>
      <vt:lpstr>data</vt:lpstr>
      <vt:lpstr>Summary_Wide</vt:lpstr>
      <vt:lpstr>Data_Long</vt:lpstr>
      <vt:lpstr>Source_Index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</cp:lastModifiedBy>
  <dcterms:created xsi:type="dcterms:W3CDTF">2026-03-18T13:16:00Z</dcterms:created>
  <dcterms:modified xsi:type="dcterms:W3CDTF">2026-03-20T01:34:19Z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B8D16044A1A64E598DC4EDF2192E25D7</vt:lpwstr>
  </property>
  <property fmtid="{D5CDD505-2E9C-101B-9397-08002B2CF9AE}" pid="3" name="KSOProductBuildVer">
    <vt:lpwstr>2052-11.1.0.11875</vt:lpwstr>
  </property>
</Properties>
</file>